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1a666190909ffa/Studia/KZU/ZNL/materiałyMoje/"/>
    </mc:Choice>
  </mc:AlternateContent>
  <xr:revisionPtr revIDLastSave="333" documentId="6_{F7FC195A-226D-4DAB-988F-223CD09D9D32}" xr6:coauthVersionLast="45" xr6:coauthVersionMax="45" xr10:uidLastSave="{04EB815E-7DDC-4F91-9F3D-888ED31A2EAA}"/>
  <bookViews>
    <workbookView xWindow="-108" yWindow="-108" windowWidth="23256" windowHeight="12576" xr2:uid="{00000000-000D-0000-FFFF-FFFF00000000}"/>
  </bookViews>
  <sheets>
    <sheet name="A-max 22 9V" sheetId="4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5" i="4" l="1"/>
  <c r="E79" i="4" l="1"/>
  <c r="B124" i="4"/>
  <c r="A124" i="4"/>
  <c r="H144" i="4"/>
  <c r="H143" i="4"/>
  <c r="Q95" i="4"/>
  <c r="C144" i="4"/>
  <c r="A106" i="4"/>
  <c r="C106" i="4"/>
  <c r="B106" i="4" s="1"/>
  <c r="C105" i="4"/>
  <c r="A105" i="4"/>
  <c r="F79" i="4"/>
  <c r="D106" i="4" l="1"/>
  <c r="B35" i="4"/>
  <c r="A74" i="4" l="1"/>
  <c r="C74" i="4" s="1"/>
  <c r="A128" i="4"/>
  <c r="A104" i="4"/>
  <c r="A103" i="4"/>
  <c r="C103" i="4"/>
  <c r="A88" i="4" l="1"/>
  <c r="C120" i="4"/>
  <c r="J43" i="4"/>
  <c r="J41" i="4"/>
  <c r="H42" i="4"/>
  <c r="J42" i="4" s="1"/>
  <c r="H43" i="4"/>
  <c r="H44" i="4"/>
  <c r="J44" i="4" s="1"/>
  <c r="H45" i="4"/>
  <c r="J45" i="4" s="1"/>
  <c r="H41" i="4"/>
  <c r="B9" i="4"/>
  <c r="B10" i="4"/>
  <c r="B11" i="4"/>
  <c r="B12" i="4"/>
  <c r="B8" i="4"/>
  <c r="C9" i="4"/>
  <c r="C10" i="4"/>
  <c r="C11" i="4"/>
  <c r="C12" i="4"/>
  <c r="C8" i="4"/>
  <c r="D9" i="4"/>
  <c r="D10" i="4"/>
  <c r="D11" i="4"/>
  <c r="D12" i="4"/>
  <c r="D8" i="4"/>
  <c r="A155" i="4" l="1"/>
  <c r="J140" i="4"/>
  <c r="J139" i="4"/>
  <c r="N137" i="4"/>
  <c r="L140" i="4" s="1"/>
  <c r="J137" i="4"/>
  <c r="J136" i="4"/>
  <c r="B112" i="4"/>
  <c r="A112" i="4"/>
  <c r="B107" i="4"/>
  <c r="D107" i="4" s="1"/>
  <c r="B105" i="4"/>
  <c r="D105" i="4" s="1"/>
  <c r="B104" i="4"/>
  <c r="D104" i="4" s="1"/>
  <c r="B103" i="4"/>
  <c r="D103" i="4" s="1"/>
  <c r="B91" i="4"/>
  <c r="A91" i="4"/>
  <c r="A87" i="4"/>
  <c r="A85" i="4"/>
  <c r="G79" i="4"/>
  <c r="B79" i="4" s="1"/>
  <c r="D112" i="4" s="1"/>
  <c r="C73" i="4"/>
  <c r="C119" i="4" s="1"/>
  <c r="C72" i="4"/>
  <c r="A86" i="4" s="1"/>
  <c r="C71" i="4"/>
  <c r="C117" i="4" s="1"/>
  <c r="B59" i="4"/>
  <c r="A59" i="4"/>
  <c r="C59" i="4" s="1"/>
  <c r="A63" i="4" s="1"/>
  <c r="C63" i="4" s="1"/>
  <c r="B117" i="4" s="1"/>
  <c r="B128" i="4" s="1"/>
  <c r="G54" i="4"/>
  <c r="G53" i="4"/>
  <c r="D53" i="4"/>
  <c r="G52" i="4"/>
  <c r="D52" i="4"/>
  <c r="G51" i="4"/>
  <c r="D51" i="4"/>
  <c r="G50" i="4"/>
  <c r="D50" i="4"/>
  <c r="G49" i="4"/>
  <c r="D49" i="4"/>
  <c r="B49" i="4"/>
  <c r="A49" i="4"/>
  <c r="G48" i="4"/>
  <c r="B41" i="4"/>
  <c r="A35" i="4"/>
  <c r="C35" i="4" s="1"/>
  <c r="A26" i="4"/>
  <c r="D41" i="4" s="1"/>
  <c r="B21" i="4"/>
  <c r="B20" i="4"/>
  <c r="B19" i="4"/>
  <c r="B18" i="4"/>
  <c r="B17" i="4"/>
  <c r="A17" i="4"/>
  <c r="C17" i="4" s="1"/>
  <c r="F8" i="4"/>
  <c r="K2" i="4"/>
  <c r="C26" i="4" s="1"/>
  <c r="E41" i="4" s="1"/>
  <c r="I2" i="4"/>
  <c r="C79" i="4" s="1"/>
  <c r="G10" i="4" l="1"/>
  <c r="G11" i="4"/>
  <c r="G9" i="4"/>
  <c r="G8" i="4"/>
  <c r="G12" i="4"/>
  <c r="E49" i="4"/>
  <c r="A41" i="4"/>
  <c r="P144" i="4"/>
  <c r="C91" i="4"/>
  <c r="A95" i="4" s="1"/>
  <c r="A159" i="4"/>
  <c r="B159" i="4" s="1"/>
  <c r="C118" i="4"/>
  <c r="B80" i="4"/>
  <c r="C18" i="4"/>
  <c r="A79" i="4"/>
  <c r="H79" i="4" s="1"/>
  <c r="D27" i="4"/>
  <c r="C42" i="4"/>
  <c r="C20" i="4"/>
  <c r="C19" i="4"/>
  <c r="C21" i="4"/>
  <c r="C49" i="4"/>
  <c r="E50" i="4" s="1"/>
  <c r="E51" i="4"/>
  <c r="G136" i="4"/>
  <c r="B26" i="4"/>
  <c r="E26" i="4" l="1"/>
  <c r="E28" i="4"/>
  <c r="E27" i="4"/>
  <c r="E29" i="4"/>
  <c r="E30" i="4"/>
  <c r="L143" i="4"/>
  <c r="E52" i="4"/>
  <c r="E53" i="4"/>
  <c r="A80" i="4"/>
  <c r="C112" i="4"/>
  <c r="E112" i="4" s="1"/>
  <c r="C41" i="4"/>
  <c r="D26" i="4"/>
  <c r="M140" i="4"/>
  <c r="N140" i="4" s="1"/>
  <c r="M143" i="4" s="1"/>
  <c r="B85" i="4"/>
  <c r="C88" i="4" s="1"/>
  <c r="B98" i="4" s="1"/>
  <c r="C98" i="4" s="1"/>
  <c r="C45" i="4"/>
  <c r="D30" i="4"/>
  <c r="D29" i="4"/>
  <c r="C44" i="4"/>
  <c r="F41" i="4"/>
  <c r="G42" i="4" s="1"/>
  <c r="F29" i="4"/>
  <c r="F26" i="4"/>
  <c r="F27" i="4"/>
  <c r="C43" i="4"/>
  <c r="G43" i="4" s="1"/>
  <c r="D28" i="4"/>
  <c r="F112" i="4" l="1"/>
  <c r="A149" i="4" s="1"/>
  <c r="H99" i="4"/>
  <c r="I99" i="4"/>
  <c r="N99" i="4" s="1"/>
  <c r="N143" i="4"/>
  <c r="Q142" i="4" s="1"/>
  <c r="F30" i="4"/>
  <c r="G41" i="4"/>
  <c r="G45" i="4"/>
  <c r="F28" i="4"/>
  <c r="A117" i="4"/>
  <c r="D120" i="4" s="1"/>
  <c r="C124" i="4" s="1"/>
  <c r="G44" i="4"/>
  <c r="C87" i="4"/>
  <c r="B97" i="4" s="1"/>
  <c r="C97" i="4" s="1"/>
  <c r="C86" i="4"/>
  <c r="B96" i="4" s="1"/>
  <c r="C96" i="4" s="1"/>
  <c r="C85" i="4"/>
  <c r="B95" i="4" s="1"/>
  <c r="C95" i="4" s="1"/>
  <c r="H96" i="4" s="1"/>
  <c r="L96" i="4" s="1"/>
  <c r="D118" i="4" l="1"/>
  <c r="C149" i="4"/>
  <c r="C150" i="4"/>
  <c r="L99" i="4"/>
  <c r="J99" i="4"/>
  <c r="M99" i="4" s="1"/>
  <c r="P142" i="4"/>
  <c r="R142" i="4" s="1"/>
  <c r="D119" i="4"/>
  <c r="D124" i="4" s="1"/>
  <c r="D128" i="4" s="1"/>
  <c r="E128" i="4" s="1"/>
  <c r="C138" i="4"/>
  <c r="D138" i="4" s="1"/>
  <c r="E138" i="4" s="1"/>
  <c r="D117" i="4"/>
  <c r="I98" i="4"/>
  <c r="H98" i="4"/>
  <c r="L98" i="4" s="1"/>
  <c r="I97" i="4"/>
  <c r="N97" i="4" s="1"/>
  <c r="H97" i="4"/>
  <c r="L97" i="4" s="1"/>
  <c r="I96" i="4"/>
  <c r="N96" i="4" s="1"/>
  <c r="H103" i="4" l="1"/>
  <c r="N98" i="4"/>
  <c r="C128" i="4"/>
  <c r="A139" i="4"/>
  <c r="B139" i="4" s="1"/>
  <c r="C139" i="4" s="1"/>
  <c r="D139" i="4" s="1"/>
  <c r="E139" i="4" s="1"/>
  <c r="J96" i="4"/>
  <c r="M96" i="4" s="1"/>
  <c r="J97" i="4"/>
  <c r="M97" i="4" s="1"/>
  <c r="A129" i="4"/>
  <c r="B129" i="4" s="1"/>
  <c r="C129" i="4" s="1"/>
  <c r="D129" i="4" s="1"/>
  <c r="E129" i="4" s="1"/>
  <c r="G103" i="4"/>
  <c r="J98" i="4"/>
  <c r="M98" i="4" s="1"/>
  <c r="A140" i="4" l="1"/>
  <c r="B140" i="4" s="1"/>
  <c r="C140" i="4" s="1"/>
  <c r="A130" i="4"/>
  <c r="B130" i="4" s="1"/>
  <c r="C130" i="4" s="1"/>
  <c r="D130" i="4" s="1"/>
  <c r="E130" i="4" s="1"/>
  <c r="P137" i="4" l="1"/>
  <c r="L126" i="4"/>
  <c r="A131" i="4"/>
  <c r="B131" i="4" l="1"/>
  <c r="P110" i="4"/>
  <c r="S117" i="4" s="1"/>
  <c r="M168" i="4"/>
  <c r="C131" i="4" l="1"/>
  <c r="O112" i="4" s="1"/>
  <c r="R117" i="4" s="1"/>
  <c r="B144" i="4"/>
  <c r="A144" i="4" s="1"/>
</calcChain>
</file>

<file path=xl/sharedStrings.xml><?xml version="1.0" encoding="utf-8"?>
<sst xmlns="http://schemas.openxmlformats.org/spreadsheetml/2006/main" count="245" uniqueCount="169">
  <si>
    <r>
      <t>Q</t>
    </r>
    <r>
      <rPr>
        <sz val="8"/>
        <color theme="1"/>
        <rFont val="Calibri"/>
        <family val="2"/>
        <charset val="238"/>
        <scheme val="minor"/>
      </rPr>
      <t>max</t>
    </r>
  </si>
  <si>
    <r>
      <t>L</t>
    </r>
    <r>
      <rPr>
        <sz val="8"/>
        <color theme="1"/>
        <rFont val="Calibri"/>
        <family val="2"/>
        <charset val="238"/>
        <scheme val="minor"/>
      </rPr>
      <t>max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</si>
  <si>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max</t>
    </r>
  </si>
  <si>
    <t>mocowanie</t>
  </si>
  <si>
    <t>produkcja</t>
  </si>
  <si>
    <t>K</t>
  </si>
  <si>
    <t>Δs [μm]</t>
  </si>
  <si>
    <r>
      <rPr>
        <sz val="7"/>
        <color theme="1"/>
        <rFont val="Times New Roman"/>
        <family val="1"/>
        <charset val="238"/>
      </rPr>
      <t xml:space="preserve"> </t>
    </r>
    <r>
      <rPr>
        <sz val="12"/>
        <color theme="1"/>
        <rFont val="Times New Roman"/>
        <family val="1"/>
        <charset val="238"/>
      </rPr>
      <t>Dobór średnicy popychacza</t>
    </r>
  </si>
  <si>
    <t xml:space="preserve">Przewidywana całkowita długość popychacza Lc </t>
  </si>
  <si>
    <r>
      <t>L</t>
    </r>
    <r>
      <rPr>
        <sz val="8"/>
        <color theme="1"/>
        <rFont val="Calibri"/>
        <family val="2"/>
        <charset val="238"/>
        <scheme val="minor"/>
      </rPr>
      <t>d</t>
    </r>
  </si>
  <si>
    <r>
      <t>L</t>
    </r>
    <r>
      <rPr>
        <sz val="8"/>
        <color theme="1"/>
        <rFont val="Calibri"/>
        <family val="2"/>
        <charset val="238"/>
        <scheme val="minor"/>
      </rPr>
      <t>z</t>
    </r>
  </si>
  <si>
    <t>Długość tej wysuniętej z nakrętki części popychacza wynosi</t>
  </si>
  <si>
    <t>L</t>
  </si>
  <si>
    <t>Minimalna średnica śruby ze względu na wyboczenie</t>
  </si>
  <si>
    <t>β</t>
  </si>
  <si>
    <t>π</t>
  </si>
  <si>
    <t>E</t>
  </si>
  <si>
    <t>J</t>
  </si>
  <si>
    <t xml:space="preserve"> </t>
  </si>
  <si>
    <r>
      <t>F</t>
    </r>
    <r>
      <rPr>
        <sz val="8"/>
        <color theme="1"/>
        <rFont val="Calibri"/>
        <family val="2"/>
        <charset val="238"/>
        <scheme val="minor"/>
      </rPr>
      <t>max</t>
    </r>
  </si>
  <si>
    <t>k</t>
  </si>
  <si>
    <t>minimalną średnicę rdzenia popychacza</t>
  </si>
  <si>
    <r>
      <t>d</t>
    </r>
    <r>
      <rPr>
        <sz val="8"/>
        <color theme="1"/>
        <rFont val="Calibri"/>
        <family val="2"/>
        <charset val="238"/>
      </rPr>
      <t>rmin</t>
    </r>
  </si>
  <si>
    <r>
      <t>F</t>
    </r>
    <r>
      <rPr>
        <sz val="8"/>
        <color theme="1"/>
        <rFont val="Calibri"/>
        <family val="2"/>
        <charset val="238"/>
        <scheme val="minor"/>
      </rPr>
      <t>kr</t>
    </r>
  </si>
  <si>
    <t>dr &gt; drmin</t>
  </si>
  <si>
    <r>
      <t>L</t>
    </r>
    <r>
      <rPr>
        <sz val="8"/>
        <color theme="1"/>
        <rFont val="Calibri"/>
        <family val="2"/>
        <charset val="238"/>
        <scheme val="minor"/>
      </rPr>
      <t>c</t>
    </r>
  </si>
  <si>
    <t>Obliczenie śruby na rozciąganie (ściskanie)</t>
  </si>
  <si>
    <t>dr</t>
  </si>
  <si>
    <r>
      <t>d</t>
    </r>
    <r>
      <rPr>
        <sz val="8"/>
        <color theme="1"/>
        <rFont val="Calibri"/>
        <family val="2"/>
        <charset val="238"/>
        <scheme val="minor"/>
      </rPr>
      <t>r</t>
    </r>
  </si>
  <si>
    <t>10S20 (A11) – stal automatowa, po walcowaniu 345</t>
  </si>
  <si>
    <t>46S20 (A45) – stal automatowa, po walcowaniu 325</t>
  </si>
  <si>
    <t>C45 (45) – stal wyższej jakości, bez obr. cieplnej 360</t>
  </si>
  <si>
    <t>C45E (45) – stal wyższej jakości ulepszana cieplnie 430</t>
  </si>
  <si>
    <t>50G – stal niskostopowa normalizowana 390</t>
  </si>
  <si>
    <t>17Cr3 (15H) – stal stopowa, hartowana 490</t>
  </si>
  <si>
    <t>107CrV3 (NW1) – „srebrzanka”, ulepszona cieplnie 650</t>
  </si>
  <si>
    <r>
      <t>k</t>
    </r>
    <r>
      <rPr>
        <sz val="8"/>
        <color theme="1"/>
        <rFont val="Calibri"/>
        <family val="2"/>
        <charset val="238"/>
        <scheme val="minor"/>
      </rPr>
      <t>c,r</t>
    </r>
  </si>
  <si>
    <r>
      <t>Wstępne obliczenie przełożenia – i</t>
    </r>
    <r>
      <rPr>
        <sz val="8"/>
        <color theme="1"/>
        <rFont val="Times New Roman"/>
        <family val="1"/>
        <charset val="238"/>
      </rPr>
      <t>c</t>
    </r>
  </si>
  <si>
    <r>
      <t>Obliczenie prędkości obrotowej nakrętki – n</t>
    </r>
    <r>
      <rPr>
        <sz val="8"/>
        <color theme="1"/>
        <rFont val="Times New Roman"/>
        <family val="1"/>
        <charset val="238"/>
      </rPr>
      <t>nut</t>
    </r>
  </si>
  <si>
    <t>P</t>
  </si>
  <si>
    <r>
      <t>v</t>
    </r>
    <r>
      <rPr>
        <sz val="8"/>
        <color theme="1"/>
        <rFont val="Calibri"/>
        <family val="2"/>
        <charset val="238"/>
        <scheme val="minor"/>
      </rPr>
      <t>max</t>
    </r>
  </si>
  <si>
    <r>
      <t>n</t>
    </r>
    <r>
      <rPr>
        <sz val="8"/>
        <color theme="1"/>
        <rFont val="Calibri"/>
        <family val="2"/>
        <charset val="238"/>
        <scheme val="minor"/>
      </rPr>
      <t>nut</t>
    </r>
  </si>
  <si>
    <r>
      <t>Wstępne obliczenie przełożenia całkowitego przekładni – i</t>
    </r>
    <r>
      <rPr>
        <sz val="8"/>
        <color theme="1"/>
        <rFont val="Times New Roman"/>
        <family val="1"/>
        <charset val="238"/>
      </rPr>
      <t>c</t>
    </r>
  </si>
  <si>
    <r>
      <t>n</t>
    </r>
    <r>
      <rPr>
        <sz val="8"/>
        <color theme="1"/>
        <rFont val="Calibri"/>
        <family val="2"/>
        <charset val="238"/>
        <scheme val="minor"/>
      </rPr>
      <t>siln</t>
    </r>
  </si>
  <si>
    <r>
      <t>i</t>
    </r>
    <r>
      <rPr>
        <sz val="8"/>
        <color theme="1"/>
        <rFont val="Calibri"/>
        <family val="2"/>
        <charset val="238"/>
        <scheme val="minor"/>
      </rPr>
      <t>p</t>
    </r>
  </si>
  <si>
    <t>przełożenie duże, ip &gt; 8</t>
  </si>
  <si>
    <r>
      <rPr>
        <sz val="7"/>
        <color theme="1"/>
        <rFont val="Times New Roman"/>
        <family val="1"/>
        <charset val="238"/>
      </rPr>
      <t xml:space="preserve"> </t>
    </r>
    <r>
      <rPr>
        <sz val="12"/>
        <color theme="1"/>
        <rFont val="Times New Roman"/>
        <family val="1"/>
        <charset val="238"/>
      </rPr>
      <t>Sposób realizacji przełożenia – ip</t>
    </r>
  </si>
  <si>
    <t>Sprawność przekładni redukcyjnej - ηp</t>
  </si>
  <si>
    <r>
      <t>η</t>
    </r>
    <r>
      <rPr>
        <sz val="8"/>
        <color theme="1"/>
        <rFont val="Times New Roman"/>
        <family val="1"/>
        <charset val="238"/>
      </rPr>
      <t>rh</t>
    </r>
  </si>
  <si>
    <r>
      <t>η</t>
    </r>
    <r>
      <rPr>
        <sz val="8"/>
        <color theme="1"/>
        <rFont val="Times New Roman"/>
        <family val="1"/>
        <charset val="238"/>
      </rPr>
      <t>s</t>
    </r>
  </si>
  <si>
    <r>
      <t>η</t>
    </r>
    <r>
      <rPr>
        <sz val="8"/>
        <color theme="1"/>
        <rFont val="Times New Roman"/>
        <family val="1"/>
        <charset val="238"/>
      </rPr>
      <t>p</t>
    </r>
  </si>
  <si>
    <t>Sprawność zespołu śruba - nakrętka – η sr-n</t>
  </si>
  <si>
    <t>γ</t>
  </si>
  <si>
    <t>μ</t>
  </si>
  <si>
    <t>ρ'</t>
  </si>
  <si>
    <t>d2</t>
  </si>
  <si>
    <r>
      <t>d</t>
    </r>
    <r>
      <rPr>
        <sz val="8"/>
        <color theme="1"/>
        <rFont val="Calibri"/>
        <family val="2"/>
        <charset val="238"/>
      </rPr>
      <t>2</t>
    </r>
  </si>
  <si>
    <r>
      <t>η</t>
    </r>
    <r>
      <rPr>
        <sz val="8"/>
        <color theme="1"/>
        <rFont val="Times New Roman"/>
        <family val="1"/>
        <charset val="238"/>
      </rPr>
      <t>sr-n</t>
    </r>
  </si>
  <si>
    <t>α</t>
  </si>
  <si>
    <t>d1</t>
  </si>
  <si>
    <r>
      <rPr>
        <sz val="11"/>
        <color theme="1"/>
        <rFont val="Times New Roman"/>
        <family val="1"/>
        <charset val="238"/>
      </rPr>
      <t xml:space="preserve">Sprawność zespołu napędu liniowego - </t>
    </r>
    <r>
      <rPr>
        <sz val="11"/>
        <color theme="1"/>
        <rFont val="Calibri"/>
        <family val="2"/>
        <charset val="238"/>
      </rPr>
      <t>η</t>
    </r>
    <r>
      <rPr>
        <sz val="8"/>
        <color theme="1"/>
        <rFont val="Times New Roman"/>
        <family val="1"/>
        <charset val="238"/>
      </rPr>
      <t>znla</t>
    </r>
  </si>
  <si>
    <r>
      <t>η</t>
    </r>
    <r>
      <rPr>
        <sz val="8"/>
        <color theme="1"/>
        <rFont val="Times New Roman"/>
        <family val="1"/>
        <charset val="238"/>
      </rPr>
      <t>znl</t>
    </r>
  </si>
  <si>
    <r>
      <rPr>
        <sz val="11"/>
        <color theme="1"/>
        <rFont val="Arial"/>
        <family val="2"/>
        <charset val="238"/>
      </rPr>
      <t xml:space="preserve">Moc na popychaczu </t>
    </r>
    <r>
      <rPr>
        <sz val="11"/>
        <color theme="1"/>
        <rFont val="Arial,Bold"/>
      </rPr>
      <t xml:space="preserve">– </t>
    </r>
    <r>
      <rPr>
        <sz val="11"/>
        <color theme="1"/>
        <rFont val="Arial"/>
        <family val="2"/>
        <charset val="238"/>
      </rPr>
      <t>N</t>
    </r>
    <r>
      <rPr>
        <sz val="8"/>
        <color theme="1"/>
        <rFont val="Arial"/>
        <family val="2"/>
        <charset val="238"/>
      </rPr>
      <t>sr</t>
    </r>
  </si>
  <si>
    <r>
      <t>N</t>
    </r>
    <r>
      <rPr>
        <sz val="8"/>
        <color theme="1"/>
        <rFont val="Calibri"/>
        <family val="2"/>
        <charset val="238"/>
        <scheme val="minor"/>
      </rPr>
      <t>sr</t>
    </r>
  </si>
  <si>
    <r>
      <rPr>
        <sz val="11"/>
        <color theme="1"/>
        <rFont val="Arial,Bold"/>
      </rPr>
      <t xml:space="preserve">          Minimalna moc silnika napędowego – </t>
    </r>
    <r>
      <rPr>
        <sz val="11"/>
        <color theme="1"/>
        <rFont val="Arial"/>
        <family val="2"/>
        <charset val="238"/>
      </rPr>
      <t>N</t>
    </r>
    <r>
      <rPr>
        <sz val="8"/>
        <color theme="1"/>
        <rFont val="Arial"/>
        <family val="2"/>
        <charset val="238"/>
      </rPr>
      <t>siln</t>
    </r>
  </si>
  <si>
    <r>
      <t>N</t>
    </r>
    <r>
      <rPr>
        <sz val="8"/>
        <color theme="1"/>
        <rFont val="Calibri"/>
        <family val="2"/>
        <charset val="238"/>
        <scheme val="minor"/>
      </rPr>
      <t>obl</t>
    </r>
  </si>
  <si>
    <r>
      <t>Dolna granica P2max = 1,3 × N</t>
    </r>
    <r>
      <rPr>
        <sz val="8"/>
        <color theme="1"/>
        <rFont val="Calibri"/>
        <family val="2"/>
        <charset val="238"/>
        <scheme val="minor"/>
      </rPr>
      <t>obl</t>
    </r>
  </si>
  <si>
    <r>
      <rPr>
        <sz val="11"/>
        <color theme="1"/>
        <rFont val="Calibri"/>
        <family val="2"/>
        <charset val="238"/>
        <scheme val="minor"/>
      </rPr>
      <t>Górna granica P2max = 1,5 × N</t>
    </r>
    <r>
      <rPr>
        <sz val="8"/>
        <color theme="1"/>
        <rFont val="Calibri"/>
        <family val="2"/>
        <charset val="238"/>
        <scheme val="minor"/>
      </rPr>
      <t xml:space="preserve">obl </t>
    </r>
  </si>
  <si>
    <t>dolna</t>
  </si>
  <si>
    <t>górna</t>
  </si>
  <si>
    <r>
      <t xml:space="preserve">           </t>
    </r>
    <r>
      <rPr>
        <sz val="11"/>
        <color theme="1"/>
        <rFont val="Calibri"/>
        <family val="2"/>
        <charset val="238"/>
        <scheme val="minor"/>
      </rPr>
      <t>Maksymalną moc silnika P</t>
    </r>
    <r>
      <rPr>
        <sz val="8"/>
        <color theme="1"/>
        <rFont val="Calibri"/>
        <family val="2"/>
        <charset val="238"/>
        <scheme val="minor"/>
      </rPr>
      <t>2max</t>
    </r>
  </si>
  <si>
    <r>
      <t>Q</t>
    </r>
    <r>
      <rPr>
        <sz val="8"/>
        <rFont val="Calibri"/>
        <family val="2"/>
        <charset val="238"/>
        <scheme val="minor"/>
      </rPr>
      <t>max</t>
    </r>
    <r>
      <rPr>
        <sz val="11"/>
        <rFont val="Calibri"/>
        <family val="2"/>
        <charset val="238"/>
        <scheme val="minor"/>
      </rPr>
      <t xml:space="preserve"> [N]</t>
    </r>
  </si>
  <si>
    <r>
      <t>L</t>
    </r>
    <r>
      <rPr>
        <sz val="8"/>
        <rFont val="Calibri"/>
        <family val="2"/>
        <charset val="238"/>
        <scheme val="minor"/>
      </rPr>
      <t>max</t>
    </r>
    <r>
      <rPr>
        <sz val="11"/>
        <rFont val="Calibri"/>
        <family val="2"/>
        <charset val="238"/>
        <scheme val="minor"/>
      </rPr>
      <t xml:space="preserve"> [mm]</t>
    </r>
  </si>
  <si>
    <r>
      <rPr>
        <sz val="12"/>
        <rFont val="Calibri"/>
        <family val="2"/>
        <charset val="238"/>
        <scheme val="minor"/>
      </rPr>
      <t>v</t>
    </r>
    <r>
      <rPr>
        <sz val="8"/>
        <rFont val="Calibri"/>
        <family val="2"/>
        <charset val="238"/>
        <scheme val="minor"/>
      </rPr>
      <t xml:space="preserve">max </t>
    </r>
    <r>
      <rPr>
        <sz val="11"/>
        <rFont val="Calibri"/>
        <family val="2"/>
        <charset val="238"/>
        <scheme val="minor"/>
      </rPr>
      <t>[mm/s]</t>
    </r>
  </si>
  <si>
    <t>gwint</t>
  </si>
  <si>
    <r>
      <t>M</t>
    </r>
    <r>
      <rPr>
        <sz val="8"/>
        <color theme="1"/>
        <rFont val="Calibri"/>
        <family val="2"/>
        <charset val="238"/>
        <scheme val="minor"/>
      </rPr>
      <t>h</t>
    </r>
  </si>
  <si>
    <r>
      <t>n</t>
    </r>
    <r>
      <rPr>
        <sz val="8"/>
        <color theme="1"/>
        <rFont val="Calibri"/>
        <family val="2"/>
        <charset val="238"/>
        <scheme val="minor"/>
      </rPr>
      <t>o</t>
    </r>
  </si>
  <si>
    <r>
      <t>ω</t>
    </r>
    <r>
      <rPr>
        <sz val="8"/>
        <color theme="1"/>
        <rFont val="Calibri"/>
        <family val="2"/>
        <charset val="238"/>
      </rPr>
      <t>o</t>
    </r>
  </si>
  <si>
    <r>
      <t>P</t>
    </r>
    <r>
      <rPr>
        <sz val="8"/>
        <color theme="1"/>
        <rFont val="Calibri"/>
        <family val="2"/>
        <charset val="238"/>
        <scheme val="minor"/>
      </rPr>
      <t>2max</t>
    </r>
  </si>
  <si>
    <t>średnia</t>
  </si>
  <si>
    <t>Moment – Mnut niezbędny do zapewnienia ruchu obrotowego nakrętki</t>
  </si>
  <si>
    <r>
      <t>d</t>
    </r>
    <r>
      <rPr>
        <sz val="8"/>
        <color theme="1"/>
        <rFont val="Calibri"/>
        <family val="2"/>
        <charset val="238"/>
        <scheme val="minor"/>
      </rPr>
      <t>2</t>
    </r>
  </si>
  <si>
    <t>tg(γ+ρ')</t>
  </si>
  <si>
    <r>
      <t>M</t>
    </r>
    <r>
      <rPr>
        <sz val="8"/>
        <color theme="1"/>
        <rFont val="Calibri"/>
        <family val="2"/>
        <charset val="238"/>
        <scheme val="minor"/>
      </rPr>
      <t>nut</t>
    </r>
  </si>
  <si>
    <r>
      <t>M</t>
    </r>
    <r>
      <rPr>
        <sz val="8"/>
        <color theme="1"/>
        <rFont val="Calibri"/>
        <family val="2"/>
        <charset val="238"/>
      </rPr>
      <t>nut</t>
    </r>
  </si>
  <si>
    <t>Moment obciążenia zredukowany do wałka silnika – Mzred</t>
  </si>
  <si>
    <r>
      <t>M</t>
    </r>
    <r>
      <rPr>
        <sz val="8"/>
        <color theme="1"/>
        <rFont val="Calibri"/>
        <family val="2"/>
        <charset val="238"/>
        <scheme val="minor"/>
      </rPr>
      <t>zred</t>
    </r>
  </si>
  <si>
    <t>Dobór punktu pracy silnika prądu stałego</t>
  </si>
  <si>
    <r>
      <t>n</t>
    </r>
    <r>
      <rPr>
        <sz val="8"/>
        <color theme="1"/>
        <rFont val="Calibri"/>
        <family val="2"/>
        <charset val="238"/>
        <scheme val="minor"/>
      </rPr>
      <t>k</t>
    </r>
  </si>
  <si>
    <r>
      <t>n</t>
    </r>
    <r>
      <rPr>
        <sz val="8"/>
        <color theme="1"/>
        <rFont val="Calibri"/>
        <family val="2"/>
        <charset val="238"/>
        <scheme val="minor"/>
      </rPr>
      <t>k+1</t>
    </r>
  </si>
  <si>
    <t>Δn</t>
  </si>
  <si>
    <r>
      <t>n</t>
    </r>
    <r>
      <rPr>
        <sz val="8"/>
        <color theme="1"/>
        <rFont val="Calibri"/>
        <family val="2"/>
        <charset val="238"/>
        <scheme val="minor"/>
      </rPr>
      <t>s</t>
    </r>
  </si>
  <si>
    <r>
      <t>i</t>
    </r>
    <r>
      <rPr>
        <sz val="8"/>
        <color theme="1"/>
        <rFont val="Calibri"/>
        <family val="2"/>
        <charset val="238"/>
        <scheme val="minor"/>
      </rPr>
      <t>rh</t>
    </r>
  </si>
  <si>
    <r>
      <t>i</t>
    </r>
    <r>
      <rPr>
        <sz val="8"/>
        <color theme="1"/>
        <rFont val="Calibri"/>
        <family val="2"/>
        <charset val="238"/>
        <scheme val="minor"/>
      </rPr>
      <t>s</t>
    </r>
  </si>
  <si>
    <t>Moment sprzęgła przeciążeniowego Msp</t>
  </si>
  <si>
    <r>
      <t>M</t>
    </r>
    <r>
      <rPr>
        <sz val="8"/>
        <color theme="1"/>
        <rFont val="Calibri"/>
        <family val="2"/>
        <charset val="238"/>
        <scheme val="minor"/>
      </rPr>
      <t>s</t>
    </r>
  </si>
  <si>
    <t>Minimalna liczba impulsów nimp tarczy na jeden obrót</t>
  </si>
  <si>
    <t>p</t>
  </si>
  <si>
    <r>
      <t>Δ</t>
    </r>
    <r>
      <rPr>
        <sz val="8"/>
        <color theme="1"/>
        <rFont val="Calibri"/>
        <family val="2"/>
        <charset val="238"/>
        <scheme val="minor"/>
      </rPr>
      <t>s</t>
    </r>
  </si>
  <si>
    <r>
      <t>n</t>
    </r>
    <r>
      <rPr>
        <sz val="8"/>
        <color theme="1"/>
        <rFont val="Calibri"/>
        <family val="2"/>
        <charset val="238"/>
        <scheme val="minor"/>
      </rPr>
      <t>imp</t>
    </r>
  </si>
  <si>
    <t>liczba cykli CPR tarczy na jeden obrót.</t>
  </si>
  <si>
    <r>
      <t>n</t>
    </r>
    <r>
      <rPr>
        <sz val="8"/>
        <color theme="1"/>
        <rFont val="Calibri"/>
        <family val="2"/>
        <charset val="238"/>
        <scheme val="minor"/>
      </rPr>
      <t>CPR</t>
    </r>
  </si>
  <si>
    <t>silnik</t>
  </si>
  <si>
    <t>str</t>
  </si>
  <si>
    <t>reduktor</t>
  </si>
  <si>
    <r>
      <t>M</t>
    </r>
    <r>
      <rPr>
        <b/>
        <sz val="8"/>
        <color theme="1"/>
        <rFont val="Calibri"/>
        <family val="2"/>
        <charset val="238"/>
        <scheme val="minor"/>
      </rPr>
      <t>h</t>
    </r>
  </si>
  <si>
    <r>
      <t>n</t>
    </r>
    <r>
      <rPr>
        <b/>
        <sz val="8"/>
        <color theme="1"/>
        <rFont val="Calibri"/>
        <family val="2"/>
        <charset val="238"/>
        <scheme val="minor"/>
      </rPr>
      <t>o</t>
    </r>
  </si>
  <si>
    <r>
      <t>η</t>
    </r>
    <r>
      <rPr>
        <b/>
        <sz val="8"/>
        <color theme="1"/>
        <rFont val="Calibri"/>
        <family val="2"/>
        <charset val="238"/>
        <scheme val="minor"/>
      </rPr>
      <t>rh</t>
    </r>
  </si>
  <si>
    <r>
      <t>i</t>
    </r>
    <r>
      <rPr>
        <b/>
        <sz val="8"/>
        <color theme="1"/>
        <rFont val="Calibri"/>
        <family val="2"/>
        <charset val="238"/>
        <scheme val="minor"/>
      </rPr>
      <t>rh</t>
    </r>
  </si>
  <si>
    <r>
      <t>wymagane i</t>
    </r>
    <r>
      <rPr>
        <b/>
        <sz val="8"/>
        <color theme="1"/>
        <rFont val="Calibri"/>
        <family val="2"/>
        <charset val="238"/>
        <scheme val="minor"/>
      </rPr>
      <t>s</t>
    </r>
  </si>
  <si>
    <r>
      <t>1/7 M</t>
    </r>
    <r>
      <rPr>
        <sz val="8"/>
        <color theme="1"/>
        <rFont val="Calibri"/>
        <family val="2"/>
        <charset val="238"/>
        <scheme val="minor"/>
      </rPr>
      <t>h</t>
    </r>
  </si>
  <si>
    <r>
      <t>0,5 M</t>
    </r>
    <r>
      <rPr>
        <sz val="8"/>
        <color theme="1"/>
        <rFont val="Calibri"/>
        <family val="2"/>
        <charset val="238"/>
        <scheme val="minor"/>
      </rPr>
      <t>h</t>
    </r>
  </si>
  <si>
    <t>Pmax</t>
  </si>
  <si>
    <t>Mh</t>
  </si>
  <si>
    <t>no</t>
  </si>
  <si>
    <t>dla rzeczywistej sprawności reduktora</t>
  </si>
  <si>
    <t>punkt pracy</t>
  </si>
  <si>
    <t>od</t>
  </si>
  <si>
    <t>do</t>
  </si>
  <si>
    <t>A - max 22</t>
  </si>
  <si>
    <t>9V</t>
  </si>
  <si>
    <t>lub</t>
  </si>
  <si>
    <t>GP 22 C</t>
  </si>
  <si>
    <t>51,90CHF</t>
  </si>
  <si>
    <t>63,20CHF</t>
  </si>
  <si>
    <t>90,80CHF</t>
  </si>
  <si>
    <t>ZNL-17</t>
  </si>
  <si>
    <r>
      <t>σ</t>
    </r>
    <r>
      <rPr>
        <sz val="8"/>
        <color theme="1"/>
        <rFont val="Calibri"/>
        <family val="2"/>
        <charset val="238"/>
      </rPr>
      <t xml:space="preserve">c,r      </t>
    </r>
    <r>
      <rPr>
        <sz val="11"/>
        <color theme="1"/>
        <rFont val="Calibri"/>
        <family val="2"/>
        <charset val="238"/>
      </rPr>
      <t xml:space="preserve"> &lt;</t>
    </r>
  </si>
  <si>
    <t>raczej 15 v 18</t>
  </si>
  <si>
    <t>Lz</t>
  </si>
  <si>
    <t>M4</t>
  </si>
  <si>
    <t>Mhmin</t>
  </si>
  <si>
    <t>Mhmax</t>
  </si>
  <si>
    <t>Mhśr</t>
  </si>
  <si>
    <t>Orientacyjne mN*m</t>
  </si>
  <si>
    <t>n0</t>
  </si>
  <si>
    <t>DCX 10L</t>
  </si>
  <si>
    <t>https://www.maxongroup.com/maxon/view/product/motor/dcmotor/DCX/DCX10/DCX10L01EBSL601</t>
  </si>
  <si>
    <t>DCX 10S</t>
  </si>
  <si>
    <t>https://www.maxongroup.com/maxon/view/product/motor/dcmotor/DCX/DCX10/DCX10S01EBKL663</t>
  </si>
  <si>
    <t>mNm</t>
  </si>
  <si>
    <t>obr/min</t>
  </si>
  <si>
    <t>rpm</t>
  </si>
  <si>
    <t>i</t>
  </si>
  <si>
    <t>nwe</t>
  </si>
  <si>
    <t>ηrh</t>
  </si>
  <si>
    <t>Przełożenie stopnia sprzęgającego</t>
  </si>
  <si>
    <t>is</t>
  </si>
  <si>
    <t>ipk</t>
  </si>
  <si>
    <t>irh</t>
  </si>
  <si>
    <t>is = ipk / irh</t>
  </si>
  <si>
    <t>DCX 16S</t>
  </si>
  <si>
    <t>https://www.maxongroup.com/maxon/view/product/motor/dcmotor/DCX/DCX16/DCX16S01EBKL577</t>
  </si>
  <si>
    <t xml:space="preserve">Portescap </t>
  </si>
  <si>
    <t>https://www.portescap.com/products/brush-dc-motor/22DCP-graphite-brush-dc-high-power-density-motor</t>
  </si>
  <si>
    <t>Portscap R22HT</t>
  </si>
  <si>
    <t>22DCP 32G1 216P 1</t>
  </si>
  <si>
    <t>-----------</t>
  </si>
  <si>
    <t>łożysko 618/7</t>
  </si>
  <si>
    <t>d</t>
  </si>
  <si>
    <t>D</t>
  </si>
  <si>
    <t>B</t>
  </si>
  <si>
    <t>r</t>
  </si>
  <si>
    <t>C</t>
  </si>
  <si>
    <t>C0</t>
  </si>
  <si>
    <t>V1</t>
  </si>
  <si>
    <t>V2</t>
  </si>
  <si>
    <t>D1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</si>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</sst>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2"/>
      <color theme="1"/>
      <name val="Times New Roman"/>
      <family val="1"/>
      <charset val="238"/>
    </font>
    <font>
      <sz val="7"/>
      <color theme="1"/>
      <name val="Times New Roman"/>
      <family val="1"/>
      <charset val="238"/>
    </font>
    <font>
      <sz val="8"/>
      <color theme="1"/>
      <name val="Calibri"/>
      <family val="2"/>
      <charset val="238"/>
    </font>
    <font>
      <sz val="11"/>
      <color theme="1"/>
      <name val="Times New Roman"/>
      <family val="1"/>
      <charset val="238"/>
    </font>
    <font>
      <sz val="8"/>
      <color theme="1"/>
      <name val="Times New Roman"/>
      <family val="1"/>
      <charset val="238"/>
    </font>
    <font>
      <sz val="12"/>
      <color theme="1"/>
      <name val="Arial,Bold"/>
    </font>
    <font>
      <sz val="11"/>
      <color theme="1"/>
      <name val="Arial"/>
      <family val="2"/>
      <charset val="238"/>
    </font>
    <font>
      <sz val="11"/>
      <color theme="1"/>
      <name val="Arial,Bold"/>
    </font>
    <font>
      <sz val="8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u/>
      <sz val="14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indent="10"/>
    </xf>
    <xf numFmtId="0" fontId="7" fillId="0" borderId="0" xfId="0" applyFont="1"/>
    <xf numFmtId="0" fontId="0" fillId="0" borderId="0" xfId="0" applyFont="1" applyAlignment="1">
      <alignment vertical="center"/>
    </xf>
    <xf numFmtId="0" fontId="2" fillId="0" borderId="0" xfId="0" applyFont="1"/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/>
    <xf numFmtId="0" fontId="0" fillId="4" borderId="0" xfId="0" applyFill="1"/>
    <xf numFmtId="0" fontId="4" fillId="4" borderId="0" xfId="0" applyFont="1" applyFill="1"/>
    <xf numFmtId="0" fontId="4" fillId="3" borderId="0" xfId="0" applyFont="1" applyFill="1" applyAlignment="1">
      <alignment horizontal="left" vertical="center" indent="5"/>
    </xf>
    <xf numFmtId="0" fontId="0" fillId="3" borderId="0" xfId="0" applyFill="1"/>
    <xf numFmtId="0" fontId="4" fillId="4" borderId="0" xfId="0" applyFont="1" applyFill="1" applyAlignment="1">
      <alignment horizontal="left" vertical="center" indent="10"/>
    </xf>
    <xf numFmtId="0" fontId="4" fillId="4" borderId="0" xfId="0" applyFont="1" applyFill="1" applyAlignment="1">
      <alignment vertical="center"/>
    </xf>
    <xf numFmtId="0" fontId="9" fillId="3" borderId="0" xfId="0" applyFont="1" applyFill="1"/>
    <xf numFmtId="0" fontId="2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center" indent="5"/>
    </xf>
    <xf numFmtId="0" fontId="0" fillId="3" borderId="0" xfId="0" applyFont="1" applyFill="1"/>
    <xf numFmtId="0" fontId="0" fillId="4" borderId="0" xfId="0" applyFont="1" applyFill="1" applyAlignment="1">
      <alignment horizontal="left" vertical="center" indent="5"/>
    </xf>
    <xf numFmtId="0" fontId="17" fillId="0" borderId="0" xfId="0" applyFont="1"/>
    <xf numFmtId="0" fontId="19" fillId="0" borderId="0" xfId="0" applyFont="1"/>
    <xf numFmtId="16" fontId="0" fillId="0" borderId="0" xfId="0" applyNumberFormat="1"/>
    <xf numFmtId="0" fontId="0" fillId="4" borderId="0" xfId="0" applyFont="1" applyFill="1"/>
    <xf numFmtId="0" fontId="20" fillId="0" borderId="0" xfId="1"/>
    <xf numFmtId="0" fontId="0" fillId="5" borderId="0" xfId="0" applyFill="1"/>
    <xf numFmtId="0" fontId="0" fillId="2" borderId="0" xfId="0" applyFill="1"/>
    <xf numFmtId="0" fontId="0" fillId="0" borderId="0" xfId="0" applyNumberFormat="1"/>
    <xf numFmtId="0" fontId="0" fillId="0" borderId="0" xfId="0" applyFill="1"/>
    <xf numFmtId="0" fontId="21" fillId="0" borderId="0" xfId="1" applyFont="1"/>
    <xf numFmtId="0" fontId="0" fillId="0" borderId="1" xfId="0" applyBorder="1"/>
    <xf numFmtId="0" fontId="3" fillId="0" borderId="1" xfId="0" applyFont="1" applyBorder="1"/>
    <xf numFmtId="0" fontId="0" fillId="0" borderId="1" xfId="0" applyFill="1" applyBorder="1"/>
    <xf numFmtId="0" fontId="0" fillId="0" borderId="0" xfId="0" quotePrefix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5182838987231"/>
          <c:y val="5.696833781853218E-2"/>
          <c:w val="0.86235727113058236"/>
          <c:h val="0.7841788763746303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9-411A-B230-0CB6A7F984C6}"/>
              </c:ext>
            </c:extLst>
          </c:dPt>
          <c:dLbls>
            <c:dLbl>
              <c:idx val="0"/>
              <c:layout>
                <c:manualLayout>
                  <c:x val="2.4121326939395733E-3"/>
                  <c:y val="-3.16140071098707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</a:t>
                    </a:r>
                    <a:r>
                      <a:rPr lang="en-US" baseline="-25000"/>
                      <a:t>s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459-411A-B230-0CB6A7F984C6}"/>
                </c:ext>
              </c:extLst>
            </c:dLbl>
            <c:dLbl>
              <c:idx val="1"/>
              <c:layout>
                <c:manualLayout>
                  <c:x val="0"/>
                  <c:y val="3.79746835443037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</a:t>
                    </a:r>
                    <a:r>
                      <a:rPr lang="en-US" baseline="-25000"/>
                      <a:t>o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9459-411A-B230-0CB6A7F984C6}"/>
                </c:ext>
              </c:extLst>
            </c:dLbl>
            <c:dLbl>
              <c:idx val="2"/>
              <c:layout>
                <c:manualLayout>
                  <c:x val="-0.11285082785704419"/>
                  <c:y val="1.90189042825343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1/7</a:t>
                    </a:r>
                    <a:r>
                      <a:rPr lang="en-US" baseline="0"/>
                      <a:t> Mh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459-411A-B230-0CB6A7F984C6}"/>
                </c:ext>
              </c:extLst>
            </c:dLbl>
            <c:dLbl>
              <c:idx val="3"/>
              <c:layout>
                <c:manualLayout>
                  <c:x val="-2.581453634085213E-2"/>
                  <c:y val="5.277417854413767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Mzred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9459-411A-B230-0CB6A7F984C6}"/>
                </c:ext>
              </c:extLst>
            </c:dLbl>
            <c:dLbl>
              <c:idx val="4"/>
              <c:layout>
                <c:manualLayout>
                  <c:x val="-5.6171531190180174E-2"/>
                  <c:y val="5.69935878268381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0,5</a:t>
                    </a:r>
                    <a:r>
                      <a:rPr lang="en-US" baseline="0"/>
                      <a:t> Mh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459-411A-B230-0CB6A7F984C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459-411A-B230-0CB6A7F984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'A-max 22 9V'!$O$109:$O$114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1.49</c:v>
                </c:pt>
                <c:pt idx="3">
                  <c:v>2.4177426302885245</c:v>
                </c:pt>
                <c:pt idx="4">
                  <c:v>5.3</c:v>
                </c:pt>
                <c:pt idx="5">
                  <c:v>10.44</c:v>
                </c:pt>
              </c:numCache>
            </c:numRef>
          </c:xVal>
          <c:yVal>
            <c:numRef>
              <c:f>'A-max 22 9V'!$P$109:$P$114</c:f>
              <c:numCache>
                <c:formatCode>General</c:formatCode>
                <c:ptCount val="6"/>
                <c:pt idx="0">
                  <c:v>8094</c:v>
                </c:pt>
                <c:pt idx="1">
                  <c:v>6207.4013172989871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9-411A-B230-0CB6A7F984C6}"/>
            </c:ext>
          </c:extLst>
        </c:ser>
        <c:ser>
          <c:idx val="1"/>
          <c:order val="1"/>
          <c:tx>
            <c:v>Seria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459-411A-B230-0CB6A7F984C6}"/>
                </c:ext>
              </c:extLst>
            </c:dLbl>
            <c:dLbl>
              <c:idx val="1"/>
              <c:layout>
                <c:manualLayout>
                  <c:x val="-9.4736842105263164E-3"/>
                  <c:y val="4.01159506960364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459-411A-B230-0CB6A7F984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'A-max 22 9V'!$R$109:$R$110</c:f>
              <c:numCache>
                <c:formatCode>General</c:formatCode>
                <c:ptCount val="2"/>
                <c:pt idx="0">
                  <c:v>0</c:v>
                </c:pt>
                <c:pt idx="1">
                  <c:v>10.44</c:v>
                </c:pt>
              </c:numCache>
            </c:numRef>
          </c:xVal>
          <c:yVal>
            <c:numRef>
              <c:f>'A-max 22 9V'!$S$109:$S$110</c:f>
              <c:numCache>
                <c:formatCode>General</c:formatCode>
                <c:ptCount val="2"/>
                <c:pt idx="0">
                  <c:v>8094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59-411A-B230-0CB6A7F984C6}"/>
            </c:ext>
          </c:extLst>
        </c:ser>
        <c:ser>
          <c:idx val="2"/>
          <c:order val="2"/>
          <c:tx>
            <c:v>Seria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x"/>
            <c:errBarType val="both"/>
            <c:errValType val="percentage"/>
            <c:noEndCap val="1"/>
            <c:val val="0"/>
            <c:spPr>
              <a:noFill/>
              <a:ln w="0" cap="flat" cmpd="sng" algn="ctr">
                <a:solidFill>
                  <a:schemeClr val="tx1"/>
                </a:solidFill>
                <a:prstDash val="sysDot"/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xVal>
            <c:numRef>
              <c:f>'A-max 22 9V'!$R$112:$R$113</c:f>
              <c:numCache>
                <c:formatCode>General</c:formatCode>
                <c:ptCount val="2"/>
                <c:pt idx="1">
                  <c:v>1.49</c:v>
                </c:pt>
              </c:numCache>
            </c:numRef>
          </c:xVal>
          <c:yVal>
            <c:numRef>
              <c:f>'A-max 22 9V'!$S$112:$S$113</c:f>
              <c:numCache>
                <c:formatCode>General</c:formatCode>
                <c:ptCount val="2"/>
                <c:pt idx="1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59-411A-B230-0CB6A7F984C6}"/>
            </c:ext>
          </c:extLst>
        </c:ser>
        <c:ser>
          <c:idx val="3"/>
          <c:order val="3"/>
          <c:tx>
            <c:v>Seria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x"/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xVal>
            <c:numRef>
              <c:f>'A-max 22 9V'!$R$116:$R$117</c:f>
              <c:numCache>
                <c:formatCode>General</c:formatCode>
                <c:ptCount val="2"/>
                <c:pt idx="1">
                  <c:v>2.4177426302885245</c:v>
                </c:pt>
              </c:numCache>
            </c:numRef>
          </c:xVal>
          <c:yVal>
            <c:numRef>
              <c:f>'A-max 22 9V'!$S$116:$S$117</c:f>
              <c:numCache>
                <c:formatCode>General</c:formatCode>
                <c:ptCount val="2"/>
                <c:pt idx="1">
                  <c:v>6207.4013172989871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59-411A-B230-0CB6A7F984C6}"/>
            </c:ext>
          </c:extLst>
        </c:ser>
        <c:ser>
          <c:idx val="4"/>
          <c:order val="4"/>
          <c:tx>
            <c:v>Seria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/>
                </a:solidFill>
                <a:prstDash val="dash"/>
                <a:round/>
              </a:ln>
              <a:effectLst/>
            </c:spPr>
          </c:errBars>
          <c:xVal>
            <c:numRef>
              <c:f>'A-max 22 9V'!$R$119:$R$120</c:f>
              <c:numCache>
                <c:formatCode>General</c:formatCode>
                <c:ptCount val="2"/>
                <c:pt idx="1">
                  <c:v>5.3</c:v>
                </c:pt>
              </c:numCache>
            </c:numRef>
          </c:xVal>
          <c:yVal>
            <c:numRef>
              <c:f>'A-max 22 9V'!$S$119:$S$120</c:f>
              <c:numCache>
                <c:formatCode>General</c:formatCode>
                <c:ptCount val="2"/>
                <c:pt idx="1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59-411A-B230-0CB6A7F984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8864440"/>
        <c:axId val="568862472"/>
      </c:scatterChart>
      <c:valAx>
        <c:axId val="56886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</a:t>
                </a:r>
                <a:r>
                  <a:rPr lang="pl-PL" baseline="0"/>
                  <a:t> [mNm]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85846249481972647"/>
              <c:y val="0.92606598225854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8862472"/>
        <c:crosses val="autoZero"/>
        <c:crossBetween val="midCat"/>
      </c:valAx>
      <c:valAx>
        <c:axId val="568862472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  <a:r>
                  <a:rPr lang="pl-PL" baseline="0"/>
                  <a:t> [rpm]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"/>
              <c:y val="9.8055417123492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8864440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chart" Target="../charts/chart1.xml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8</xdr:col>
      <xdr:colOff>95250</xdr:colOff>
      <xdr:row>5</xdr:row>
      <xdr:rowOff>9525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81050"/>
          <a:ext cx="1314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8</xdr:col>
      <xdr:colOff>314325</xdr:colOff>
      <xdr:row>14</xdr:row>
      <xdr:rowOff>9525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05075"/>
          <a:ext cx="9239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9</xdr:col>
      <xdr:colOff>447675</xdr:colOff>
      <xdr:row>24</xdr:row>
      <xdr:rowOff>19050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29100"/>
          <a:ext cx="10572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485775</xdr:colOff>
      <xdr:row>27</xdr:row>
      <xdr:rowOff>9525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10125"/>
          <a:ext cx="4857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409575</xdr:colOff>
      <xdr:row>33</xdr:row>
      <xdr:rowOff>19050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3625"/>
          <a:ext cx="1019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333375</xdr:colOff>
      <xdr:row>38</xdr:row>
      <xdr:rowOff>171450</xdr:rowOff>
    </xdr:from>
    <xdr:to>
      <xdr:col>13</xdr:col>
      <xdr:colOff>466725</xdr:colOff>
      <xdr:row>41</xdr:row>
      <xdr:rowOff>66674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7458075"/>
          <a:ext cx="1962150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12</xdr:col>
      <xdr:colOff>409575</xdr:colOff>
      <xdr:row>0</xdr:row>
      <xdr:rowOff>19050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019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10</xdr:col>
      <xdr:colOff>219075</xdr:colOff>
      <xdr:row>48</xdr:row>
      <xdr:rowOff>9525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0150"/>
          <a:ext cx="2047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8</xdr:col>
      <xdr:colOff>257175</xdr:colOff>
      <xdr:row>57</xdr:row>
      <xdr:rowOff>180975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44200"/>
          <a:ext cx="14763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447675</xdr:colOff>
      <xdr:row>61</xdr:row>
      <xdr:rowOff>57150</xdr:rowOff>
    </xdr:from>
    <xdr:to>
      <xdr:col>7</xdr:col>
      <xdr:colOff>438150</xdr:colOff>
      <xdr:row>63</xdr:row>
      <xdr:rowOff>47625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11772900"/>
          <a:ext cx="600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180975</xdr:colOff>
      <xdr:row>65</xdr:row>
      <xdr:rowOff>133350</xdr:rowOff>
    </xdr:from>
    <xdr:to>
      <xdr:col>6</xdr:col>
      <xdr:colOff>257175</xdr:colOff>
      <xdr:row>66</xdr:row>
      <xdr:rowOff>161925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2611100"/>
          <a:ext cx="6858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409575</xdr:colOff>
      <xdr:row>69</xdr:row>
      <xdr:rowOff>76200</xdr:rowOff>
    </xdr:from>
    <xdr:to>
      <xdr:col>6</xdr:col>
      <xdr:colOff>0</xdr:colOff>
      <xdr:row>70</xdr:row>
      <xdr:rowOff>104775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3344525"/>
          <a:ext cx="8096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266700</xdr:colOff>
      <xdr:row>76</xdr:row>
      <xdr:rowOff>85725</xdr:rowOff>
    </xdr:from>
    <xdr:to>
      <xdr:col>10</xdr:col>
      <xdr:colOff>276225</xdr:colOff>
      <xdr:row>78</xdr:row>
      <xdr:rowOff>85725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697075"/>
          <a:ext cx="12287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76200</xdr:colOff>
      <xdr:row>76</xdr:row>
      <xdr:rowOff>95250</xdr:rowOff>
    </xdr:from>
    <xdr:to>
      <xdr:col>12</xdr:col>
      <xdr:colOff>514350</xdr:colOff>
      <xdr:row>78</xdr:row>
      <xdr:rowOff>104775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14706600"/>
          <a:ext cx="104775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371475</xdr:colOff>
      <xdr:row>79</xdr:row>
      <xdr:rowOff>38100</xdr:rowOff>
    </xdr:from>
    <xdr:to>
      <xdr:col>11</xdr:col>
      <xdr:colOff>333375</xdr:colOff>
      <xdr:row>81</xdr:row>
      <xdr:rowOff>114300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15240000"/>
          <a:ext cx="17907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7</xdr:col>
      <xdr:colOff>466725</xdr:colOff>
      <xdr:row>83</xdr:row>
      <xdr:rowOff>19050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773400"/>
          <a:ext cx="1076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390525</xdr:colOff>
      <xdr:row>88</xdr:row>
      <xdr:rowOff>66675</xdr:rowOff>
    </xdr:from>
    <xdr:to>
      <xdr:col>7</xdr:col>
      <xdr:colOff>57150</xdr:colOff>
      <xdr:row>90</xdr:row>
      <xdr:rowOff>38100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7002125"/>
          <a:ext cx="14954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6</xdr:col>
      <xdr:colOff>114300</xdr:colOff>
      <xdr:row>95</xdr:row>
      <xdr:rowOff>19050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16525"/>
          <a:ext cx="7239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100</xdr:row>
      <xdr:rowOff>0</xdr:rowOff>
    </xdr:from>
    <xdr:to>
      <xdr:col>6</xdr:col>
      <xdr:colOff>123825</xdr:colOff>
      <xdr:row>101</xdr:row>
      <xdr:rowOff>19050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69075"/>
          <a:ext cx="13430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476250</xdr:colOff>
      <xdr:row>99</xdr:row>
      <xdr:rowOff>133350</xdr:rowOff>
    </xdr:from>
    <xdr:to>
      <xdr:col>7</xdr:col>
      <xdr:colOff>600075</xdr:colOff>
      <xdr:row>101</xdr:row>
      <xdr:rowOff>85725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19202400"/>
          <a:ext cx="7334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581025</xdr:colOff>
      <xdr:row>110</xdr:row>
      <xdr:rowOff>0</xdr:rowOff>
    </xdr:from>
    <xdr:to>
      <xdr:col>11</xdr:col>
      <xdr:colOff>352425</xdr:colOff>
      <xdr:row>111</xdr:row>
      <xdr:rowOff>19050</xdr:rowOff>
    </xdr:to>
    <xdr:pic>
      <xdr:nvPicPr>
        <xdr:cNvPr id="22" name="Obraz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21174075"/>
          <a:ext cx="2209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581025</xdr:colOff>
      <xdr:row>116</xdr:row>
      <xdr:rowOff>47625</xdr:rowOff>
    </xdr:from>
    <xdr:to>
      <xdr:col>6</xdr:col>
      <xdr:colOff>314325</xdr:colOff>
      <xdr:row>118</xdr:row>
      <xdr:rowOff>95250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22374225"/>
          <a:ext cx="952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8</xdr:col>
      <xdr:colOff>142875</xdr:colOff>
      <xdr:row>123</xdr:row>
      <xdr:rowOff>19050</xdr:rowOff>
    </xdr:to>
    <xdr:pic>
      <xdr:nvPicPr>
        <xdr:cNvPr id="24" name="Obraz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279100"/>
          <a:ext cx="13620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8</xdr:col>
      <xdr:colOff>190500</xdr:colOff>
      <xdr:row>149</xdr:row>
      <xdr:rowOff>19050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460700"/>
          <a:ext cx="1409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7</xdr:col>
      <xdr:colOff>419100</xdr:colOff>
      <xdr:row>155</xdr:row>
      <xdr:rowOff>180975</xdr:rowOff>
    </xdr:to>
    <xdr:pic>
      <xdr:nvPicPr>
        <xdr:cNvPr id="26" name="Obraz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603700"/>
          <a:ext cx="1028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6</xdr:col>
      <xdr:colOff>581025</xdr:colOff>
      <xdr:row>158</xdr:row>
      <xdr:rowOff>28575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175200"/>
          <a:ext cx="11906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327660</xdr:colOff>
      <xdr:row>109</xdr:row>
      <xdr:rowOff>144780</xdr:rowOff>
    </xdr:from>
    <xdr:to>
      <xdr:col>18</xdr:col>
      <xdr:colOff>304800</xdr:colOff>
      <xdr:row>126</xdr:row>
      <xdr:rowOff>30480</xdr:rowOff>
    </xdr:to>
    <xdr:graphicFrame macro="">
      <xdr:nvGraphicFramePr>
        <xdr:cNvPr id="28" name="Wykres 27">
          <a:extLst>
            <a:ext uri="{FF2B5EF4-FFF2-40B4-BE49-F238E27FC236}">
              <a16:creationId xmlns:a16="http://schemas.microsoft.com/office/drawing/2014/main" id="{3C356EF0-FCA3-40CB-9C3B-FEA428A45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xongroup.com/maxon/view/product/motor/dcmotor/DCX/DCX16/DCX16S01EBKL577" TargetMode="External"/><Relationship Id="rId2" Type="http://schemas.openxmlformats.org/officeDocument/2006/relationships/hyperlink" Target="https://www.maxongroup.com/maxon/view/product/motor/dcmotor/DCX/DCX10/DCX10S01EBKL663" TargetMode="External"/><Relationship Id="rId1" Type="http://schemas.openxmlformats.org/officeDocument/2006/relationships/hyperlink" Target="https://www.maxongroup.com/maxon/view/product/motor/dcmotor/DCX/DCX10/DCX10L01EBSL601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ortescap.com/products/brush-dc-motor/22DCP-graphite-brush-dc-high-power-density-mo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69"/>
  <sheetViews>
    <sheetView tabSelected="1" topLeftCell="A143" workbookViewId="0">
      <selection activeCell="C155" sqref="C155"/>
    </sheetView>
  </sheetViews>
  <sheetFormatPr defaultRowHeight="14.4"/>
  <cols>
    <col min="3" max="3" width="11.21875" customWidth="1"/>
    <col min="5" max="5" width="10.88671875" customWidth="1"/>
    <col min="12" max="12" width="12" bestFit="1" customWidth="1"/>
  </cols>
  <sheetData>
    <row r="1" spans="1:25" ht="15.6">
      <c r="A1" s="8" t="s">
        <v>71</v>
      </c>
      <c r="B1" s="8" t="s">
        <v>72</v>
      </c>
      <c r="C1" s="9" t="s">
        <v>73</v>
      </c>
      <c r="D1" s="10" t="s">
        <v>6</v>
      </c>
      <c r="E1" s="10" t="s">
        <v>3</v>
      </c>
      <c r="F1" s="10" t="s">
        <v>4</v>
      </c>
      <c r="G1" s="8"/>
      <c r="H1" s="8"/>
      <c r="I1" s="10" t="s">
        <v>15</v>
      </c>
      <c r="J1" s="10" t="s">
        <v>14</v>
      </c>
      <c r="K1" s="8" t="s">
        <v>16</v>
      </c>
      <c r="L1" s="8" t="s">
        <v>20</v>
      </c>
      <c r="M1" s="8"/>
      <c r="N1" s="8" t="s">
        <v>74</v>
      </c>
      <c r="O1" s="8" t="s">
        <v>27</v>
      </c>
      <c r="P1" s="8" t="s">
        <v>39</v>
      </c>
      <c r="Q1" s="8" t="s">
        <v>55</v>
      </c>
      <c r="R1" s="8" t="s">
        <v>59</v>
      </c>
    </row>
    <row r="2" spans="1:25">
      <c r="A2">
        <v>85</v>
      </c>
      <c r="B2">
        <v>40</v>
      </c>
      <c r="C2">
        <v>2</v>
      </c>
      <c r="D2">
        <v>3</v>
      </c>
      <c r="E2" t="s">
        <v>5</v>
      </c>
      <c r="F2" t="s">
        <v>17</v>
      </c>
      <c r="I2">
        <f>PI()</f>
        <v>3.1415926535897931</v>
      </c>
      <c r="J2">
        <v>2</v>
      </c>
      <c r="K2">
        <f>2.1*10^5</f>
        <v>210000</v>
      </c>
      <c r="L2">
        <v>3</v>
      </c>
      <c r="N2" t="s">
        <v>130</v>
      </c>
      <c r="O2">
        <v>3.141</v>
      </c>
      <c r="P2">
        <v>0.7</v>
      </c>
      <c r="Q2">
        <v>3.5449999999999999</v>
      </c>
      <c r="R2">
        <v>3.242</v>
      </c>
    </row>
    <row r="4" spans="1:25" ht="15.6">
      <c r="A4" s="13" t="s">
        <v>7</v>
      </c>
      <c r="B4" s="14"/>
      <c r="C4" s="14"/>
      <c r="D4" s="14"/>
      <c r="E4" s="14"/>
      <c r="N4" t="s">
        <v>126</v>
      </c>
    </row>
    <row r="5" spans="1:25" ht="15.6">
      <c r="A5" s="11"/>
      <c r="B5" s="12" t="s">
        <v>8</v>
      </c>
      <c r="C5" s="11"/>
      <c r="D5" s="11"/>
      <c r="E5" s="11"/>
      <c r="F5" s="11"/>
    </row>
    <row r="7" spans="1:25">
      <c r="A7" t="s">
        <v>9</v>
      </c>
      <c r="B7" t="s">
        <v>10</v>
      </c>
      <c r="C7" t="s">
        <v>128</v>
      </c>
      <c r="E7" t="s">
        <v>129</v>
      </c>
      <c r="F7" t="s">
        <v>1</v>
      </c>
      <c r="G7" t="s">
        <v>25</v>
      </c>
      <c r="O7" t="s">
        <v>159</v>
      </c>
      <c r="P7" t="s">
        <v>160</v>
      </c>
      <c r="Q7" t="s">
        <v>161</v>
      </c>
      <c r="R7" t="s">
        <v>162</v>
      </c>
      <c r="S7" t="s">
        <v>163</v>
      </c>
      <c r="T7" t="s">
        <v>164</v>
      </c>
      <c r="U7" t="s">
        <v>165</v>
      </c>
      <c r="V7" t="s">
        <v>166</v>
      </c>
      <c r="W7" t="s">
        <v>167</v>
      </c>
      <c r="X7" t="s">
        <v>59</v>
      </c>
      <c r="Y7" t="s">
        <v>168</v>
      </c>
    </row>
    <row r="8" spans="1:25">
      <c r="A8">
        <v>20</v>
      </c>
      <c r="B8">
        <f>4*$O$2</f>
        <v>12.564</v>
      </c>
      <c r="C8">
        <f>5*$O$2</f>
        <v>15.705</v>
      </c>
      <c r="D8">
        <f>6*$O$2</f>
        <v>18.846</v>
      </c>
      <c r="E8">
        <v>22</v>
      </c>
      <c r="F8">
        <f>B2</f>
        <v>40</v>
      </c>
      <c r="G8" s="27">
        <f>A8+$E$8+$F$8</f>
        <v>82</v>
      </c>
      <c r="M8" t="s">
        <v>158</v>
      </c>
      <c r="O8">
        <v>7</v>
      </c>
      <c r="P8">
        <v>14</v>
      </c>
      <c r="Q8">
        <v>3.5</v>
      </c>
      <c r="R8">
        <v>0.3</v>
      </c>
      <c r="S8">
        <v>70</v>
      </c>
      <c r="T8">
        <v>36</v>
      </c>
      <c r="U8">
        <v>37000</v>
      </c>
      <c r="V8">
        <v>44000</v>
      </c>
      <c r="W8">
        <v>8.4</v>
      </c>
      <c r="X8">
        <v>12.6</v>
      </c>
      <c r="Y8">
        <v>0.15</v>
      </c>
    </row>
    <row r="9" spans="1:25">
      <c r="A9">
        <v>25</v>
      </c>
      <c r="B9">
        <f t="shared" ref="B9:B12" si="0">4*$O$2</f>
        <v>12.564</v>
      </c>
      <c r="C9">
        <f t="shared" ref="C9:C12" si="1">5*$O$2</f>
        <v>15.705</v>
      </c>
      <c r="D9">
        <f t="shared" ref="D9:D12" si="2">6*$O$2</f>
        <v>18.846</v>
      </c>
      <c r="G9" s="14">
        <f t="shared" ref="G9:G12" si="3">A9+$E$8+$F$8</f>
        <v>87</v>
      </c>
    </row>
    <row r="10" spans="1:25">
      <c r="A10">
        <v>30</v>
      </c>
      <c r="B10">
        <f t="shared" si="0"/>
        <v>12.564</v>
      </c>
      <c r="C10">
        <f t="shared" si="1"/>
        <v>15.705</v>
      </c>
      <c r="D10">
        <f t="shared" si="2"/>
        <v>18.846</v>
      </c>
      <c r="G10" s="14">
        <f t="shared" si="3"/>
        <v>92</v>
      </c>
    </row>
    <row r="11" spans="1:25">
      <c r="A11">
        <v>35</v>
      </c>
      <c r="B11">
        <f t="shared" si="0"/>
        <v>12.564</v>
      </c>
      <c r="C11">
        <f t="shared" si="1"/>
        <v>15.705</v>
      </c>
      <c r="D11">
        <f t="shared" si="2"/>
        <v>18.846</v>
      </c>
      <c r="G11" s="14">
        <f t="shared" si="3"/>
        <v>97</v>
      </c>
    </row>
    <row r="12" spans="1:25">
      <c r="A12">
        <v>40</v>
      </c>
      <c r="B12">
        <f t="shared" si="0"/>
        <v>12.564</v>
      </c>
      <c r="C12">
        <f t="shared" si="1"/>
        <v>15.705</v>
      </c>
      <c r="D12">
        <f t="shared" si="2"/>
        <v>18.846</v>
      </c>
      <c r="G12">
        <f t="shared" si="3"/>
        <v>102</v>
      </c>
    </row>
    <row r="13" spans="1:25">
      <c r="B13">
        <v>4</v>
      </c>
      <c r="C13">
        <v>5</v>
      </c>
      <c r="D13">
        <v>6</v>
      </c>
    </row>
    <row r="14" spans="1:25" ht="15.6">
      <c r="A14" s="11"/>
      <c r="B14" s="12" t="s">
        <v>11</v>
      </c>
      <c r="C14" s="11"/>
      <c r="D14" s="11"/>
      <c r="E14" s="11"/>
      <c r="F14" s="11"/>
      <c r="G14" s="11"/>
      <c r="S14" s="35" t="s">
        <v>157</v>
      </c>
    </row>
    <row r="16" spans="1:25">
      <c r="A16" t="s">
        <v>1</v>
      </c>
      <c r="B16" t="s">
        <v>9</v>
      </c>
      <c r="C16" t="s">
        <v>12</v>
      </c>
    </row>
    <row r="17" spans="1:10">
      <c r="A17">
        <f>B2</f>
        <v>40</v>
      </c>
      <c r="B17" s="27">
        <f>A8</f>
        <v>20</v>
      </c>
      <c r="C17" s="27">
        <f>$A$17+B17</f>
        <v>60</v>
      </c>
    </row>
    <row r="18" spans="1:10">
      <c r="B18">
        <f t="shared" ref="B18:B21" si="4">A9</f>
        <v>25</v>
      </c>
      <c r="C18">
        <f t="shared" ref="C18:C21" si="5">$A$17+B18</f>
        <v>65</v>
      </c>
    </row>
    <row r="19" spans="1:10">
      <c r="B19">
        <f t="shared" si="4"/>
        <v>30</v>
      </c>
      <c r="C19">
        <f t="shared" si="5"/>
        <v>70</v>
      </c>
    </row>
    <row r="20" spans="1:10">
      <c r="B20">
        <f t="shared" si="4"/>
        <v>35</v>
      </c>
      <c r="C20">
        <f t="shared" si="5"/>
        <v>75</v>
      </c>
    </row>
    <row r="21" spans="1:10">
      <c r="B21">
        <f t="shared" si="4"/>
        <v>40</v>
      </c>
      <c r="C21">
        <f t="shared" si="5"/>
        <v>80</v>
      </c>
    </row>
    <row r="23" spans="1:10" ht="15.6">
      <c r="A23" s="11"/>
      <c r="B23" s="15" t="s">
        <v>13</v>
      </c>
      <c r="C23" s="11"/>
      <c r="D23" s="11"/>
      <c r="E23" s="11"/>
      <c r="F23" s="11"/>
      <c r="G23" s="11"/>
      <c r="H23" s="11"/>
    </row>
    <row r="25" spans="1:10">
      <c r="A25" s="2" t="s">
        <v>14</v>
      </c>
      <c r="B25" s="2" t="s">
        <v>15</v>
      </c>
      <c r="C25" t="s">
        <v>16</v>
      </c>
      <c r="D25" t="s">
        <v>12</v>
      </c>
      <c r="E25" t="s">
        <v>17</v>
      </c>
      <c r="F25" t="s">
        <v>23</v>
      </c>
    </row>
    <row r="26" spans="1:10">
      <c r="A26">
        <f>J2</f>
        <v>2</v>
      </c>
      <c r="B26">
        <f>I2</f>
        <v>3.1415926535897931</v>
      </c>
      <c r="C26">
        <f>K2</f>
        <v>210000</v>
      </c>
      <c r="D26" s="27">
        <f>C17</f>
        <v>60</v>
      </c>
      <c r="E26" s="27">
        <f>($B$26*($O$2^4))/64</f>
        <v>4.7779504801670623</v>
      </c>
      <c r="F26" s="27">
        <f>(($B$26/$A$26)^2)*(($C$26*E26)/(D26^2))</f>
        <v>687.69868252230606</v>
      </c>
    </row>
    <row r="27" spans="1:10">
      <c r="D27">
        <f t="shared" ref="D27:D30" si="6">C18</f>
        <v>65</v>
      </c>
      <c r="E27">
        <f t="shared" ref="E27:E30" si="7">($B$26*($O$2^4))/64</f>
        <v>4.7779504801670623</v>
      </c>
      <c r="F27">
        <f>(($B$26/$A$26)^2)*(($C$26*E27)/(D27^2))</f>
        <v>585.9681081846868</v>
      </c>
    </row>
    <row r="28" spans="1:10">
      <c r="D28">
        <f t="shared" si="6"/>
        <v>70</v>
      </c>
      <c r="E28">
        <f t="shared" si="7"/>
        <v>4.7779504801670623</v>
      </c>
      <c r="F28">
        <f t="shared" ref="F28:F30" si="8">(($B$26/$A$26)^2)*(($C$26*E28)/(D28^2))</f>
        <v>505.24801164904125</v>
      </c>
    </row>
    <row r="29" spans="1:10">
      <c r="D29">
        <f t="shared" si="6"/>
        <v>75</v>
      </c>
      <c r="E29">
        <f t="shared" si="7"/>
        <v>4.7779504801670623</v>
      </c>
      <c r="F29">
        <f t="shared" si="8"/>
        <v>440.12715681427591</v>
      </c>
      <c r="J29" t="s">
        <v>18</v>
      </c>
    </row>
    <row r="30" spans="1:10">
      <c r="D30">
        <f t="shared" si="6"/>
        <v>80</v>
      </c>
      <c r="E30">
        <f t="shared" si="7"/>
        <v>4.7779504801670623</v>
      </c>
      <c r="F30">
        <f t="shared" si="8"/>
        <v>386.83050891879719</v>
      </c>
    </row>
    <row r="34" spans="1:18">
      <c r="A34" t="s">
        <v>20</v>
      </c>
      <c r="B34" t="s">
        <v>0</v>
      </c>
      <c r="C34" t="s">
        <v>19</v>
      </c>
    </row>
    <row r="35" spans="1:18">
      <c r="A35">
        <f>L2</f>
        <v>3</v>
      </c>
      <c r="B35">
        <f>A2</f>
        <v>85</v>
      </c>
      <c r="C35">
        <f>A35*B35</f>
        <v>255</v>
      </c>
    </row>
    <row r="39" spans="1:18" ht="15.6">
      <c r="A39" s="11"/>
      <c r="B39" s="16" t="s">
        <v>21</v>
      </c>
      <c r="C39" s="11"/>
      <c r="D39" s="11"/>
      <c r="E39" s="11"/>
    </row>
    <row r="40" spans="1:18">
      <c r="A40" t="s">
        <v>20</v>
      </c>
      <c r="B40" t="s">
        <v>0</v>
      </c>
      <c r="C40" t="s">
        <v>12</v>
      </c>
      <c r="D40" s="2" t="s">
        <v>14</v>
      </c>
      <c r="E40" s="2" t="s">
        <v>16</v>
      </c>
      <c r="F40" s="2" t="s">
        <v>15</v>
      </c>
      <c r="G40" s="2" t="s">
        <v>22</v>
      </c>
      <c r="H40" s="2" t="s">
        <v>24</v>
      </c>
    </row>
    <row r="41" spans="1:18">
      <c r="A41">
        <f>A35</f>
        <v>3</v>
      </c>
      <c r="B41">
        <f>A2</f>
        <v>85</v>
      </c>
      <c r="C41" s="27">
        <f>C17</f>
        <v>60</v>
      </c>
      <c r="D41">
        <f>A26</f>
        <v>2</v>
      </c>
      <c r="E41">
        <f>C26</f>
        <v>210000</v>
      </c>
      <c r="F41">
        <f>B26</f>
        <v>3.1415926535897931</v>
      </c>
      <c r="G41">
        <f>((64*$A$41*$B$41*(C41^2)*($D$41^2))/(($F$41^3)*$E$41))^(1/4)</f>
        <v>2.4510571265213086</v>
      </c>
      <c r="H41" s="27">
        <f>$O$2</f>
        <v>3.141</v>
      </c>
      <c r="I41" t="s">
        <v>130</v>
      </c>
      <c r="J41">
        <f>H41</f>
        <v>3.141</v>
      </c>
    </row>
    <row r="42" spans="1:18">
      <c r="C42">
        <f>C18</f>
        <v>65</v>
      </c>
      <c r="G42">
        <f t="shared" ref="G42:G45" si="9">((64*$A$41*$B$41*(C42^2)*($D$41^2))/(($F$41^3)*$E$41))^(1/4)</f>
        <v>2.5511411415142837</v>
      </c>
      <c r="H42">
        <f t="shared" ref="H42:H45" si="10">$O$2</f>
        <v>3.141</v>
      </c>
      <c r="J42">
        <f t="shared" ref="J42:J45" si="11">H42</f>
        <v>3.141</v>
      </c>
    </row>
    <row r="43" spans="1:18">
      <c r="C43">
        <f>C19</f>
        <v>70</v>
      </c>
      <c r="G43">
        <f t="shared" si="9"/>
        <v>2.647444278994878</v>
      </c>
      <c r="H43">
        <f t="shared" si="10"/>
        <v>3.141</v>
      </c>
      <c r="J43">
        <f t="shared" si="11"/>
        <v>3.141</v>
      </c>
    </row>
    <row r="44" spans="1:18">
      <c r="C44">
        <f>C20</f>
        <v>75</v>
      </c>
      <c r="G44">
        <f t="shared" si="9"/>
        <v>2.7403651758184742</v>
      </c>
      <c r="H44">
        <f t="shared" si="10"/>
        <v>3.141</v>
      </c>
      <c r="J44">
        <f t="shared" si="11"/>
        <v>3.141</v>
      </c>
    </row>
    <row r="45" spans="1:18">
      <c r="C45">
        <f>C21</f>
        <v>80</v>
      </c>
      <c r="G45">
        <f t="shared" si="9"/>
        <v>2.8302369835924561</v>
      </c>
      <c r="H45">
        <f t="shared" si="10"/>
        <v>3.141</v>
      </c>
      <c r="J45">
        <f t="shared" si="11"/>
        <v>3.141</v>
      </c>
    </row>
    <row r="47" spans="1:18" ht="15.6">
      <c r="A47" s="11"/>
      <c r="B47" s="15" t="s">
        <v>26</v>
      </c>
      <c r="C47" s="11"/>
      <c r="D47" s="11"/>
      <c r="E47" s="11"/>
      <c r="F47" s="11"/>
      <c r="G47" s="11"/>
    </row>
    <row r="48" spans="1:18">
      <c r="A48" t="s">
        <v>20</v>
      </c>
      <c r="B48" t="s">
        <v>0</v>
      </c>
      <c r="C48" s="2" t="s">
        <v>15</v>
      </c>
      <c r="D48" t="s">
        <v>28</v>
      </c>
      <c r="E48" s="2" t="s">
        <v>127</v>
      </c>
      <c r="F48" t="s">
        <v>36</v>
      </c>
      <c r="G48" s="30">
        <f t="shared" ref="G48:G54" si="12">0.5*R48</f>
        <v>172.5</v>
      </c>
      <c r="M48" t="s">
        <v>29</v>
      </c>
      <c r="R48" s="30">
        <v>345</v>
      </c>
    </row>
    <row r="49" spans="1:18">
      <c r="A49">
        <f>L2</f>
        <v>3</v>
      </c>
      <c r="B49">
        <f>A2</f>
        <v>85</v>
      </c>
      <c r="C49">
        <f>I2</f>
        <v>3.1415926535897931</v>
      </c>
      <c r="D49">
        <f>H41</f>
        <v>3.141</v>
      </c>
      <c r="E49">
        <f>(4*$A$49*$B$49)/($C$49*(D49^2))</f>
        <v>32.90898034422537</v>
      </c>
      <c r="G49" s="27">
        <f t="shared" si="12"/>
        <v>162.5</v>
      </c>
      <c r="M49" t="s">
        <v>30</v>
      </c>
      <c r="R49" s="27">
        <v>325</v>
      </c>
    </row>
    <row r="50" spans="1:18">
      <c r="D50">
        <f>H42</f>
        <v>3.141</v>
      </c>
      <c r="E50">
        <f t="shared" ref="E50:E53" si="13">(4*$A$49*$B$49)/($C$49*(D50^2))</f>
        <v>32.90898034422537</v>
      </c>
      <c r="G50">
        <f t="shared" si="12"/>
        <v>180</v>
      </c>
      <c r="M50" t="s">
        <v>31</v>
      </c>
      <c r="R50">
        <v>360</v>
      </c>
    </row>
    <row r="51" spans="1:18">
      <c r="D51">
        <f>H43</f>
        <v>3.141</v>
      </c>
      <c r="E51">
        <f t="shared" si="13"/>
        <v>32.90898034422537</v>
      </c>
      <c r="G51">
        <f t="shared" si="12"/>
        <v>215</v>
      </c>
      <c r="M51" t="s">
        <v>32</v>
      </c>
      <c r="R51">
        <v>430</v>
      </c>
    </row>
    <row r="52" spans="1:18">
      <c r="D52">
        <f>H44</f>
        <v>3.141</v>
      </c>
      <c r="E52">
        <f t="shared" si="13"/>
        <v>32.90898034422537</v>
      </c>
      <c r="G52">
        <f t="shared" si="12"/>
        <v>195</v>
      </c>
      <c r="M52" t="s">
        <v>33</v>
      </c>
      <c r="R52">
        <v>390</v>
      </c>
    </row>
    <row r="53" spans="1:18">
      <c r="D53">
        <f>H45</f>
        <v>3.141</v>
      </c>
      <c r="E53">
        <f t="shared" si="13"/>
        <v>32.90898034422537</v>
      </c>
      <c r="G53">
        <f t="shared" si="12"/>
        <v>245</v>
      </c>
      <c r="M53" t="s">
        <v>34</v>
      </c>
      <c r="R53">
        <v>490</v>
      </c>
    </row>
    <row r="54" spans="1:18">
      <c r="G54">
        <f t="shared" si="12"/>
        <v>325</v>
      </c>
      <c r="M54" t="s">
        <v>35</v>
      </c>
      <c r="R54">
        <v>650</v>
      </c>
    </row>
    <row r="56" spans="1:18" ht="15.6">
      <c r="A56" s="13" t="s">
        <v>37</v>
      </c>
      <c r="B56" s="14"/>
      <c r="C56" s="14"/>
      <c r="D56" s="14"/>
      <c r="E56" s="14"/>
    </row>
    <row r="57" spans="1:18" ht="15.6">
      <c r="A57" s="11"/>
      <c r="B57" s="12" t="s">
        <v>38</v>
      </c>
      <c r="C57" s="11"/>
      <c r="D57" s="11"/>
      <c r="E57" s="11"/>
      <c r="F57" s="11"/>
    </row>
    <row r="58" spans="1:18">
      <c r="A58" t="s">
        <v>40</v>
      </c>
      <c r="B58" t="s">
        <v>39</v>
      </c>
      <c r="C58" t="s">
        <v>41</v>
      </c>
    </row>
    <row r="59" spans="1:18">
      <c r="A59">
        <f>C2</f>
        <v>2</v>
      </c>
      <c r="B59">
        <f>P2</f>
        <v>0.7</v>
      </c>
      <c r="C59">
        <f>60*A59/B59</f>
        <v>171.42857142857144</v>
      </c>
    </row>
    <row r="61" spans="1:18" ht="15.6">
      <c r="A61" s="15" t="s">
        <v>42</v>
      </c>
      <c r="B61" s="11"/>
      <c r="C61" s="11"/>
      <c r="D61" s="11"/>
      <c r="E61" s="11"/>
      <c r="F61" s="11"/>
      <c r="G61" s="11"/>
    </row>
    <row r="62" spans="1:18">
      <c r="A62" t="s">
        <v>41</v>
      </c>
      <c r="B62" t="s">
        <v>43</v>
      </c>
      <c r="C62" t="s">
        <v>44</v>
      </c>
    </row>
    <row r="63" spans="1:18">
      <c r="A63">
        <f>C59</f>
        <v>171.42857142857144</v>
      </c>
      <c r="B63">
        <v>5525</v>
      </c>
      <c r="C63">
        <f>B63/$A$63</f>
        <v>32.229166666666664</v>
      </c>
    </row>
    <row r="66" spans="1:18" ht="15.6">
      <c r="A66" s="4" t="s">
        <v>46</v>
      </c>
    </row>
    <row r="67" spans="1:18" ht="15.6">
      <c r="B67" s="4" t="s">
        <v>45</v>
      </c>
    </row>
    <row r="69" spans="1:18" ht="15.6">
      <c r="A69" s="13" t="s">
        <v>47</v>
      </c>
      <c r="B69" s="14"/>
      <c r="C69" s="14"/>
      <c r="D69" s="14"/>
      <c r="E69" s="14"/>
    </row>
    <row r="70" spans="1:18" ht="15.6">
      <c r="A70" s="3" t="s">
        <v>48</v>
      </c>
      <c r="B70" s="5" t="s">
        <v>49</v>
      </c>
      <c r="C70" s="3" t="s">
        <v>50</v>
      </c>
    </row>
    <row r="71" spans="1:18">
      <c r="A71">
        <v>0.7</v>
      </c>
      <c r="B71">
        <v>0.9</v>
      </c>
      <c r="C71">
        <f>A71*$B$71</f>
        <v>0.63</v>
      </c>
    </row>
    <row r="72" spans="1:18">
      <c r="A72">
        <v>0.75</v>
      </c>
      <c r="C72">
        <f t="shared" ref="C72:C74" si="14">A72*$B$71</f>
        <v>0.67500000000000004</v>
      </c>
      <c r="P72" t="s">
        <v>138</v>
      </c>
    </row>
    <row r="73" spans="1:18">
      <c r="A73">
        <v>0.8</v>
      </c>
      <c r="C73">
        <f t="shared" si="14"/>
        <v>0.72000000000000008</v>
      </c>
      <c r="P73" s="26" t="s">
        <v>139</v>
      </c>
    </row>
    <row r="74" spans="1:18">
      <c r="A74" s="27">
        <f>Q97</f>
        <v>0.82</v>
      </c>
      <c r="C74" s="27">
        <f t="shared" si="14"/>
        <v>0.73799999999999999</v>
      </c>
      <c r="P74" t="s">
        <v>113</v>
      </c>
      <c r="Q74">
        <v>1.38</v>
      </c>
      <c r="R74" t="s">
        <v>140</v>
      </c>
    </row>
    <row r="75" spans="1:18">
      <c r="P75" t="s">
        <v>135</v>
      </c>
      <c r="Q75">
        <v>12500</v>
      </c>
      <c r="R75" t="s">
        <v>141</v>
      </c>
    </row>
    <row r="77" spans="1:18" ht="15.6">
      <c r="A77" s="13" t="s">
        <v>51</v>
      </c>
      <c r="B77" s="14"/>
      <c r="C77" s="14"/>
      <c r="D77" s="14"/>
      <c r="E77" s="14"/>
      <c r="P77" s="30" t="s">
        <v>136</v>
      </c>
    </row>
    <row r="78" spans="1:18" ht="15.6">
      <c r="A78" s="2" t="s">
        <v>52</v>
      </c>
      <c r="B78" s="2" t="s">
        <v>54</v>
      </c>
      <c r="C78" s="2" t="s">
        <v>15</v>
      </c>
      <c r="D78" s="2" t="s">
        <v>53</v>
      </c>
      <c r="E78" s="2" t="s">
        <v>56</v>
      </c>
      <c r="F78" s="2" t="s">
        <v>39</v>
      </c>
      <c r="G78" s="2" t="s">
        <v>58</v>
      </c>
      <c r="H78" s="3" t="s">
        <v>57</v>
      </c>
      <c r="P78" s="26" t="s">
        <v>137</v>
      </c>
    </row>
    <row r="79" spans="1:18">
      <c r="A79">
        <f>ATAN(F79/(C79*E79))</f>
        <v>6.2771281572053889E-2</v>
      </c>
      <c r="B79">
        <f>ATAN(D79/COS(G79/2))</f>
        <v>0.3334731722518321</v>
      </c>
      <c r="C79">
        <f>I2</f>
        <v>3.1415926535897931</v>
      </c>
      <c r="D79">
        <v>0.3</v>
      </c>
      <c r="E79">
        <f>Q2</f>
        <v>3.5449999999999999</v>
      </c>
      <c r="F79">
        <f>P2</f>
        <v>0.7</v>
      </c>
      <c r="G79">
        <f>RADIANS(60)</f>
        <v>1.0471975511965976</v>
      </c>
      <c r="H79">
        <f>TAN(A79)/TAN(A79+B79)</f>
        <v>0.15023389076401028</v>
      </c>
      <c r="P79" t="s">
        <v>113</v>
      </c>
      <c r="Q79">
        <v>4.8</v>
      </c>
      <c r="R79" t="s">
        <v>140</v>
      </c>
    </row>
    <row r="80" spans="1:18">
      <c r="A80">
        <f>DEGREES(A79)</f>
        <v>3.596529508706007</v>
      </c>
      <c r="B80">
        <f>DEGREES(B79)</f>
        <v>19.106605350869096</v>
      </c>
      <c r="P80" t="s">
        <v>135</v>
      </c>
      <c r="Q80">
        <v>12000</v>
      </c>
      <c r="R80" t="s">
        <v>141</v>
      </c>
    </row>
    <row r="82" spans="1:18">
      <c r="P82" s="30" t="s">
        <v>151</v>
      </c>
    </row>
    <row r="83" spans="1:18" ht="15.6">
      <c r="A83" s="13" t="s">
        <v>60</v>
      </c>
      <c r="B83" s="14"/>
      <c r="C83" s="14"/>
      <c r="D83" s="14"/>
      <c r="E83" s="14"/>
      <c r="P83" s="26" t="s">
        <v>152</v>
      </c>
    </row>
    <row r="84" spans="1:18" ht="15.6">
      <c r="A84" s="3" t="s">
        <v>50</v>
      </c>
      <c r="B84" s="3" t="s">
        <v>57</v>
      </c>
      <c r="C84" s="3" t="s">
        <v>61</v>
      </c>
      <c r="P84" t="s">
        <v>113</v>
      </c>
      <c r="Q84">
        <v>12.6</v>
      </c>
      <c r="R84" t="s">
        <v>140</v>
      </c>
    </row>
    <row r="85" spans="1:18">
      <c r="A85">
        <f>C71</f>
        <v>0.63</v>
      </c>
      <c r="B85">
        <f>H79</f>
        <v>0.15023389076401028</v>
      </c>
      <c r="C85">
        <f>A85*$B$85</f>
        <v>9.4647351181326472E-2</v>
      </c>
      <c r="P85" t="s">
        <v>135</v>
      </c>
      <c r="Q85">
        <v>6580</v>
      </c>
      <c r="R85" t="s">
        <v>141</v>
      </c>
    </row>
    <row r="86" spans="1:18">
      <c r="A86">
        <f>C72</f>
        <v>0.67500000000000004</v>
      </c>
      <c r="C86">
        <f t="shared" ref="C86:C88" si="15">A86*$B$85</f>
        <v>0.10140787626570695</v>
      </c>
    </row>
    <row r="87" spans="1:18">
      <c r="A87">
        <f>C73</f>
        <v>0.72000000000000008</v>
      </c>
      <c r="C87">
        <f t="shared" si="15"/>
        <v>0.10816840135008741</v>
      </c>
      <c r="P87" s="27" t="s">
        <v>153</v>
      </c>
      <c r="Q87" t="s">
        <v>156</v>
      </c>
    </row>
    <row r="88" spans="1:18">
      <c r="A88" s="27">
        <f>C74</f>
        <v>0.73799999999999999</v>
      </c>
      <c r="C88" s="27">
        <f t="shared" si="15"/>
        <v>0.11087261138383958</v>
      </c>
      <c r="P88" s="26" t="s">
        <v>154</v>
      </c>
    </row>
    <row r="89" spans="1:18" ht="15.6">
      <c r="A89" s="13" t="s">
        <v>62</v>
      </c>
      <c r="B89" s="14"/>
      <c r="C89" s="14"/>
      <c r="D89" s="14"/>
      <c r="P89" t="s">
        <v>113</v>
      </c>
      <c r="Q89">
        <v>10.44</v>
      </c>
      <c r="R89" t="s">
        <v>140</v>
      </c>
    </row>
    <row r="90" spans="1:18" ht="15.6">
      <c r="A90" t="s">
        <v>0</v>
      </c>
      <c r="B90" s="1" t="s">
        <v>2</v>
      </c>
      <c r="C90" t="s">
        <v>63</v>
      </c>
      <c r="P90" t="s">
        <v>135</v>
      </c>
      <c r="Q90">
        <v>8094</v>
      </c>
      <c r="R90" t="s">
        <v>141</v>
      </c>
    </row>
    <row r="91" spans="1:18">
      <c r="A91">
        <f>A2</f>
        <v>85</v>
      </c>
      <c r="B91">
        <f>C2</f>
        <v>2</v>
      </c>
      <c r="C91">
        <f>A91*B91/1000</f>
        <v>0.17</v>
      </c>
    </row>
    <row r="93" spans="1:18" ht="15.6">
      <c r="A93" s="17" t="s">
        <v>64</v>
      </c>
      <c r="B93" s="14"/>
      <c r="C93" s="14"/>
      <c r="D93" s="14"/>
      <c r="E93" s="14"/>
      <c r="H93" s="6" t="s">
        <v>66</v>
      </c>
      <c r="P93" s="31" t="s">
        <v>155</v>
      </c>
    </row>
    <row r="94" spans="1:18" ht="15.6">
      <c r="A94" t="s">
        <v>63</v>
      </c>
      <c r="B94" s="3" t="s">
        <v>61</v>
      </c>
      <c r="C94" t="s">
        <v>65</v>
      </c>
      <c r="H94" s="7" t="s">
        <v>67</v>
      </c>
      <c r="M94" t="s">
        <v>134</v>
      </c>
      <c r="P94" s="26"/>
    </row>
    <row r="95" spans="1:18">
      <c r="A95">
        <f>C91</f>
        <v>0.17</v>
      </c>
      <c r="B95">
        <f>C85</f>
        <v>9.4647351181326472E-2</v>
      </c>
      <c r="C95">
        <f>$A$95/B95</f>
        <v>1.7961411268056733</v>
      </c>
      <c r="H95" t="s">
        <v>68</v>
      </c>
      <c r="I95" t="s">
        <v>69</v>
      </c>
      <c r="J95" t="s">
        <v>79</v>
      </c>
      <c r="L95" t="s">
        <v>131</v>
      </c>
      <c r="M95" t="s">
        <v>133</v>
      </c>
      <c r="N95" t="s">
        <v>132</v>
      </c>
      <c r="P95" t="s">
        <v>143</v>
      </c>
      <c r="Q95" s="29">
        <f>10.9</f>
        <v>10.9</v>
      </c>
    </row>
    <row r="96" spans="1:18">
      <c r="B96">
        <f t="shared" ref="B96:B97" si="16">C86</f>
        <v>0.10140787626570695</v>
      </c>
      <c r="C96">
        <f t="shared" ref="C96" si="17">$A$95/B96</f>
        <v>1.6763983850186281</v>
      </c>
      <c r="H96">
        <f>1.3*C95</f>
        <v>2.3349834648473755</v>
      </c>
      <c r="I96">
        <f>1.5*C95</f>
        <v>2.69421169020851</v>
      </c>
      <c r="J96">
        <f>(H96+I96)/2</f>
        <v>2.514597577527943</v>
      </c>
      <c r="L96">
        <f>(H96/(0.25*$B$103))*10^3</f>
        <v>7.1351838809913728</v>
      </c>
      <c r="M96">
        <f>(J96/(0.25*$B$103))*10^3</f>
        <v>7.6840441795291712</v>
      </c>
      <c r="N96">
        <f>(I96/(0.25*$B$103))*10^3</f>
        <v>8.2329044780669687</v>
      </c>
      <c r="P96" t="s">
        <v>144</v>
      </c>
      <c r="Q96">
        <v>12000</v>
      </c>
      <c r="R96" t="s">
        <v>142</v>
      </c>
    </row>
    <row r="97" spans="1:19">
      <c r="B97">
        <f t="shared" si="16"/>
        <v>0.10816840135008741</v>
      </c>
      <c r="C97">
        <f>$A$95/B97</f>
        <v>1.571623485954964</v>
      </c>
      <c r="H97">
        <f t="shared" ref="H97:H98" si="18">1.3*C96</f>
        <v>2.1793179005242167</v>
      </c>
      <c r="I97">
        <f t="shared" ref="I97:I98" si="19">1.5*C96</f>
        <v>2.5145975775279421</v>
      </c>
      <c r="J97">
        <f t="shared" ref="J97:J98" si="20">(H97+I97)/2</f>
        <v>2.3469577390260792</v>
      </c>
      <c r="L97">
        <f t="shared" ref="L97:L98" si="21">(H97/(0.25*$B$103))*10^3</f>
        <v>6.659504955591947</v>
      </c>
      <c r="M97">
        <f t="shared" ref="M97:M98" si="22">(J97/(0.25*$B$103))*10^3</f>
        <v>7.1717745675605569</v>
      </c>
      <c r="N97">
        <f t="shared" ref="N97:N98" si="23">(I97/(0.25*$B$103))*10^3</f>
        <v>7.6840441795291685</v>
      </c>
      <c r="P97" t="s">
        <v>145</v>
      </c>
      <c r="Q97">
        <v>0.82</v>
      </c>
    </row>
    <row r="98" spans="1:19">
      <c r="B98" s="27">
        <f t="shared" ref="B98" si="24">C88</f>
        <v>0.11087261138383958</v>
      </c>
      <c r="C98" s="27">
        <f>$A$95/B98</f>
        <v>1.5332912058097212</v>
      </c>
      <c r="H98">
        <f t="shared" si="18"/>
        <v>2.0431105317414535</v>
      </c>
      <c r="I98">
        <f t="shared" si="19"/>
        <v>2.3574352289324461</v>
      </c>
      <c r="J98">
        <f t="shared" si="20"/>
        <v>2.20027288033695</v>
      </c>
      <c r="L98">
        <f t="shared" si="21"/>
        <v>6.2432858958674506</v>
      </c>
      <c r="M98">
        <f t="shared" si="22"/>
        <v>6.7235386570880245</v>
      </c>
      <c r="N98">
        <f t="shared" si="23"/>
        <v>7.2037914183085965</v>
      </c>
    </row>
    <row r="99" spans="1:19">
      <c r="H99" s="27">
        <f t="shared" ref="H99" si="25">1.3*C98</f>
        <v>1.9932785675526377</v>
      </c>
      <c r="I99" s="27">
        <f t="shared" ref="I99" si="26">1.5*C98</f>
        <v>2.2999368087145817</v>
      </c>
      <c r="J99" s="27">
        <f t="shared" ref="J99" si="27">(H99+I99)/2</f>
        <v>2.1466076881336096</v>
      </c>
      <c r="L99">
        <f t="shared" ref="L99" si="28">(H99/(0.25*$B$103))*10^3</f>
        <v>6.0910106301145861</v>
      </c>
      <c r="M99">
        <f t="shared" ref="M99" si="29">(J99/(0.25*$B$103))*10^3</f>
        <v>6.5595499093541694</v>
      </c>
      <c r="N99">
        <f t="shared" ref="N99" si="30">(I99/(0.25*$B$103))*10^3</f>
        <v>7.0280891885937526</v>
      </c>
    </row>
    <row r="100" spans="1:19" ht="15.6">
      <c r="A100" s="18" t="s">
        <v>70</v>
      </c>
      <c r="B100" s="14"/>
      <c r="C100" s="14"/>
      <c r="D100" s="14"/>
    </row>
    <row r="102" spans="1:19">
      <c r="A102" t="s">
        <v>75</v>
      </c>
      <c r="B102" s="2" t="s">
        <v>77</v>
      </c>
      <c r="C102" t="s">
        <v>76</v>
      </c>
      <c r="D102" t="s">
        <v>78</v>
      </c>
      <c r="G102" t="s">
        <v>117</v>
      </c>
      <c r="H102" t="s">
        <v>118</v>
      </c>
    </row>
    <row r="103" spans="1:19">
      <c r="A103">
        <f>Q74</f>
        <v>1.38</v>
      </c>
      <c r="B103">
        <f>PI()*C103/30</f>
        <v>1308.9969389957471</v>
      </c>
      <c r="C103">
        <f>Q75</f>
        <v>12500</v>
      </c>
      <c r="D103">
        <f>0.25*A103*B103*10^-3</f>
        <v>0.45160394395353276</v>
      </c>
      <c r="G103">
        <f>H98</f>
        <v>2.0431105317414535</v>
      </c>
      <c r="H103">
        <f>I98</f>
        <v>2.3574352289324461</v>
      </c>
    </row>
    <row r="104" spans="1:19">
      <c r="A104" s="30">
        <f>Q79</f>
        <v>4.8</v>
      </c>
      <c r="B104" s="30">
        <f>PI()*C104/30</f>
        <v>1256.6370614359173</v>
      </c>
      <c r="C104" s="30">
        <v>12000</v>
      </c>
      <c r="D104" s="30">
        <f>0.25*A104*B104*10^-3</f>
        <v>1.5079644737231008</v>
      </c>
    </row>
    <row r="105" spans="1:19">
      <c r="A105" s="30">
        <f>Q84</f>
        <v>12.6</v>
      </c>
      <c r="B105" s="30">
        <f t="shared" ref="B105:B107" si="31">PI()*C105/30</f>
        <v>689.05598868736126</v>
      </c>
      <c r="C105" s="30">
        <f>Q85</f>
        <v>6580</v>
      </c>
      <c r="D105" s="30">
        <f>0.25*A105*B105*10^-3</f>
        <v>2.170526364365188</v>
      </c>
    </row>
    <row r="106" spans="1:19">
      <c r="A106" s="27">
        <f>Q89</f>
        <v>10.44</v>
      </c>
      <c r="B106" s="27">
        <f t="shared" si="31"/>
        <v>847.60169793852617</v>
      </c>
      <c r="C106" s="27">
        <f>Q90</f>
        <v>8094</v>
      </c>
      <c r="D106" s="27">
        <f>0.25*A106*B106*10^-3</f>
        <v>2.2122404316195534</v>
      </c>
    </row>
    <row r="107" spans="1:19">
      <c r="B107">
        <f t="shared" si="31"/>
        <v>0</v>
      </c>
      <c r="D107">
        <f t="shared" ref="D107" si="32">0.25*A107*B107</f>
        <v>0</v>
      </c>
    </row>
    <row r="109" spans="1:19">
      <c r="O109">
        <v>0</v>
      </c>
      <c r="P109">
        <v>8094</v>
      </c>
      <c r="R109">
        <v>0</v>
      </c>
      <c r="S109">
        <v>8094</v>
      </c>
    </row>
    <row r="110" spans="1:19">
      <c r="A110" s="19" t="s">
        <v>80</v>
      </c>
      <c r="B110" s="14"/>
      <c r="C110" s="14"/>
      <c r="D110" s="14"/>
      <c r="E110" s="14"/>
      <c r="F110" s="14"/>
      <c r="G110" s="14"/>
      <c r="H110" s="14"/>
      <c r="O110">
        <v>0</v>
      </c>
      <c r="P110">
        <f>A131</f>
        <v>6207.4013172989871</v>
      </c>
      <c r="R110">
        <v>10.44</v>
      </c>
      <c r="S110">
        <v>0</v>
      </c>
    </row>
    <row r="111" spans="1:19">
      <c r="A111" t="s">
        <v>0</v>
      </c>
      <c r="B111" t="s">
        <v>81</v>
      </c>
      <c r="C111" s="2" t="s">
        <v>52</v>
      </c>
      <c r="D111" s="2" t="s">
        <v>54</v>
      </c>
      <c r="E111" s="2" t="s">
        <v>82</v>
      </c>
      <c r="F111" s="2" t="s">
        <v>84</v>
      </c>
      <c r="O111">
        <v>1.49</v>
      </c>
      <c r="P111">
        <v>0</v>
      </c>
    </row>
    <row r="112" spans="1:19">
      <c r="A112">
        <f>A2</f>
        <v>85</v>
      </c>
      <c r="B112">
        <f>Q2</f>
        <v>3.5449999999999999</v>
      </c>
      <c r="C112">
        <f>A79</f>
        <v>6.2771281572053889E-2</v>
      </c>
      <c r="D112">
        <f>B79</f>
        <v>0.3334731722518321</v>
      </c>
      <c r="E112">
        <f>TAN(C112+D112)</f>
        <v>0.41837335043690504</v>
      </c>
      <c r="F112">
        <f>(0.5*A112*B112*E112)</f>
        <v>63.033174910200202</v>
      </c>
      <c r="O112">
        <f>C131</f>
        <v>2.4177426302885245</v>
      </c>
      <c r="P112">
        <v>0</v>
      </c>
    </row>
    <row r="113" spans="1:19">
      <c r="O113">
        <v>5.3</v>
      </c>
      <c r="P113">
        <v>0</v>
      </c>
      <c r="R113">
        <v>1.49</v>
      </c>
      <c r="S113">
        <v>8000</v>
      </c>
    </row>
    <row r="114" spans="1:19">
      <c r="O114">
        <v>10.44</v>
      </c>
      <c r="P114">
        <v>0</v>
      </c>
    </row>
    <row r="115" spans="1:19">
      <c r="A115" s="19" t="s">
        <v>85</v>
      </c>
      <c r="B115" s="14"/>
      <c r="C115" s="14"/>
      <c r="D115" s="14"/>
      <c r="E115" s="14"/>
      <c r="F115" s="14"/>
      <c r="G115" s="14"/>
    </row>
    <row r="116" spans="1:19" ht="15.6">
      <c r="A116" t="s">
        <v>83</v>
      </c>
      <c r="B116" t="s">
        <v>44</v>
      </c>
      <c r="C116" s="3" t="s">
        <v>50</v>
      </c>
      <c r="D116" t="s">
        <v>86</v>
      </c>
    </row>
    <row r="117" spans="1:19">
      <c r="A117">
        <f>F112</f>
        <v>63.033174910200202</v>
      </c>
      <c r="B117">
        <f>C63</f>
        <v>32.229166666666664</v>
      </c>
      <c r="C117">
        <f>C71</f>
        <v>0.63</v>
      </c>
      <c r="D117">
        <f>$A$117/($B$117*C117)</f>
        <v>3.1044134532680863</v>
      </c>
      <c r="R117">
        <f>O112</f>
        <v>2.4177426302885245</v>
      </c>
      <c r="S117">
        <f>P110</f>
        <v>6207.4013172989871</v>
      </c>
    </row>
    <row r="118" spans="1:19">
      <c r="C118">
        <f>C72</f>
        <v>0.67500000000000004</v>
      </c>
      <c r="D118">
        <f t="shared" ref="D118:D119" si="33">$A$117/($B$117*C118)</f>
        <v>2.8974525563835476</v>
      </c>
    </row>
    <row r="119" spans="1:19">
      <c r="C119">
        <f>C73</f>
        <v>0.72000000000000008</v>
      </c>
      <c r="D119">
        <f t="shared" si="33"/>
        <v>2.7163617716095754</v>
      </c>
    </row>
    <row r="120" spans="1:19">
      <c r="C120" s="27">
        <f>C74</f>
        <v>0.73799999999999999</v>
      </c>
      <c r="D120" s="27">
        <f t="shared" ref="D120" si="34">$A$117/($B$117*C120)</f>
        <v>2.6501090454727572</v>
      </c>
      <c r="R120">
        <v>5.3</v>
      </c>
      <c r="S120">
        <v>8000</v>
      </c>
    </row>
    <row r="121" spans="1:19">
      <c r="A121" s="19" t="s">
        <v>87</v>
      </c>
      <c r="B121" s="14"/>
      <c r="C121" s="14"/>
      <c r="D121" s="14"/>
      <c r="E121" s="14"/>
      <c r="F121" s="14"/>
    </row>
    <row r="123" spans="1:19">
      <c r="A123" t="s">
        <v>76</v>
      </c>
      <c r="B123" t="s">
        <v>75</v>
      </c>
      <c r="C123" t="s">
        <v>86</v>
      </c>
      <c r="D123" t="s">
        <v>91</v>
      </c>
    </row>
    <row r="124" spans="1:19">
      <c r="A124">
        <f>Q90</f>
        <v>8094</v>
      </c>
      <c r="B124">
        <f>Q89</f>
        <v>10.44</v>
      </c>
      <c r="C124">
        <f>D120</f>
        <v>2.6501090454727572</v>
      </c>
      <c r="D124">
        <f>A124*((B124-C124)/B124)</f>
        <v>6039.4039641708332</v>
      </c>
    </row>
    <row r="125" spans="1:19">
      <c r="K125" t="s">
        <v>92</v>
      </c>
      <c r="L125" t="s">
        <v>93</v>
      </c>
    </row>
    <row r="126" spans="1:19">
      <c r="A126" s="11"/>
      <c r="B126" s="11" t="s">
        <v>116</v>
      </c>
      <c r="C126" s="11"/>
      <c r="D126" s="11"/>
      <c r="E126" s="11"/>
      <c r="K126">
        <v>5.4</v>
      </c>
      <c r="L126">
        <f>B140/K126</f>
        <v>5.6663439301848673</v>
      </c>
    </row>
    <row r="127" spans="1:19">
      <c r="A127" s="32" t="s">
        <v>88</v>
      </c>
      <c r="B127" s="32" t="s">
        <v>44</v>
      </c>
      <c r="C127" s="32" t="s">
        <v>86</v>
      </c>
      <c r="D127" s="32" t="s">
        <v>89</v>
      </c>
      <c r="E127" s="33" t="s">
        <v>90</v>
      </c>
    </row>
    <row r="128" spans="1:19">
      <c r="A128" s="32">
        <f>B63</f>
        <v>5525</v>
      </c>
      <c r="B128" s="32">
        <f>B117</f>
        <v>32.229166666666664</v>
      </c>
      <c r="C128" s="32">
        <f>C124</f>
        <v>2.6501090454727572</v>
      </c>
      <c r="D128" s="32">
        <f>D124</f>
        <v>6039.4039641708332</v>
      </c>
      <c r="E128" s="32">
        <f>ABS(D128-A128)</f>
        <v>514.40396417083321</v>
      </c>
    </row>
    <row r="129" spans="1:18">
      <c r="A129" s="32">
        <f>D128</f>
        <v>6039.4039641708332</v>
      </c>
      <c r="B129" s="32">
        <f>A129/A63</f>
        <v>35.229856457663189</v>
      </c>
      <c r="C129" s="32">
        <f>$A$117/B129/$C$119</f>
        <v>2.4849966780129735</v>
      </c>
      <c r="D129" s="32">
        <f>A124*((B124-C129)/B124)</f>
        <v>6167.4134950347689</v>
      </c>
      <c r="E129" s="32">
        <f t="shared" ref="E129:E130" si="35">ABS(D129-A129)</f>
        <v>128.00953086393565</v>
      </c>
    </row>
    <row r="130" spans="1:18">
      <c r="A130" s="32">
        <f>D129</f>
        <v>6167.4134950347689</v>
      </c>
      <c r="B130" s="32">
        <f>A130/$A$63</f>
        <v>35.976578721036148</v>
      </c>
      <c r="C130" s="32">
        <f t="shared" ref="C130:C131" si="36">$A$117/B130/$C$119</f>
        <v>2.4334186122311063</v>
      </c>
      <c r="D130" s="32">
        <f>$A$124*(($B$124-C130)/$B$124)</f>
        <v>6207.4013172989871</v>
      </c>
      <c r="E130" s="32">
        <f t="shared" si="35"/>
        <v>39.987822264218266</v>
      </c>
    </row>
    <row r="131" spans="1:18">
      <c r="A131" s="34">
        <f>D130</f>
        <v>6207.4013172989871</v>
      </c>
      <c r="B131" s="34">
        <f>A131/$A$63</f>
        <v>36.209841017577425</v>
      </c>
      <c r="C131" s="34">
        <f t="shared" si="36"/>
        <v>2.4177426302885245</v>
      </c>
      <c r="D131" s="32"/>
      <c r="E131" s="32"/>
    </row>
    <row r="132" spans="1:18">
      <c r="A132" s="30"/>
      <c r="B132" s="30"/>
      <c r="C132" s="30"/>
    </row>
    <row r="136" spans="1:18" ht="15.6">
      <c r="A136" s="11"/>
      <c r="B136" s="25" t="s">
        <v>115</v>
      </c>
      <c r="C136" s="11"/>
      <c r="D136" s="11"/>
      <c r="E136" s="11"/>
      <c r="F136" s="11"/>
      <c r="G136">
        <f>N137</f>
        <v>0.75600000000000001</v>
      </c>
      <c r="I136" s="24" t="s">
        <v>110</v>
      </c>
      <c r="J136">
        <f>B124/7</f>
        <v>1.4914285714285713</v>
      </c>
      <c r="L136" s="3" t="s">
        <v>48</v>
      </c>
      <c r="M136" s="5" t="s">
        <v>49</v>
      </c>
      <c r="N136" s="3" t="s">
        <v>50</v>
      </c>
      <c r="P136" t="s">
        <v>86</v>
      </c>
    </row>
    <row r="137" spans="1:18">
      <c r="A137" t="s">
        <v>88</v>
      </c>
      <c r="B137" t="s">
        <v>44</v>
      </c>
      <c r="C137" t="s">
        <v>86</v>
      </c>
      <c r="D137" t="s">
        <v>89</v>
      </c>
      <c r="E137" s="2" t="s">
        <v>90</v>
      </c>
      <c r="I137" t="s">
        <v>111</v>
      </c>
      <c r="J137">
        <f>0.5*B124</f>
        <v>5.22</v>
      </c>
      <c r="L137">
        <v>0.84</v>
      </c>
      <c r="M137">
        <v>0.9</v>
      </c>
      <c r="N137">
        <f>L137*$B$71</f>
        <v>0.75600000000000001</v>
      </c>
      <c r="P137">
        <f>A117/B140/N137</f>
        <v>2.7249007968667827</v>
      </c>
    </row>
    <row r="138" spans="1:18">
      <c r="A138">
        <v>7380.7790000000005</v>
      </c>
      <c r="B138">
        <v>15.376620000000001</v>
      </c>
      <c r="C138">
        <f t="shared" ref="C138:C140" si="37">$A$117/B138/$G$136</f>
        <v>5.4223369953658738</v>
      </c>
      <c r="D138">
        <f>$A$124*(($B$124-C138)/$B$124)</f>
        <v>3890.1306857766872</v>
      </c>
      <c r="E138">
        <f>D138-A138</f>
        <v>-3490.6483142233133</v>
      </c>
    </row>
    <row r="139" spans="1:18" ht="15.6">
      <c r="A139">
        <f>D138</f>
        <v>3890.1306857766872</v>
      </c>
      <c r="B139">
        <f>A139/$A$63</f>
        <v>22.692429000364008</v>
      </c>
      <c r="C139">
        <f t="shared" si="37"/>
        <v>3.6742305324981013</v>
      </c>
      <c r="D139">
        <f t="shared" ref="D139" si="38">$A$124*(($B$124-C139)/$B$124)</f>
        <v>5245.4155239425636</v>
      </c>
      <c r="E139">
        <f>D139-A139</f>
        <v>1355.2848381658764</v>
      </c>
      <c r="I139" t="s">
        <v>113</v>
      </c>
      <c r="J139">
        <f>B124/1000</f>
        <v>1.044E-2</v>
      </c>
      <c r="L139" s="3" t="s">
        <v>50</v>
      </c>
      <c r="M139" s="3" t="s">
        <v>57</v>
      </c>
      <c r="N139" s="3" t="s">
        <v>61</v>
      </c>
      <c r="P139" s="6" t="s">
        <v>66</v>
      </c>
    </row>
    <row r="140" spans="1:18" ht="15.6">
      <c r="A140">
        <f>D139</f>
        <v>5245.4155239425636</v>
      </c>
      <c r="B140">
        <f>A140/$A$63</f>
        <v>30.598257222998285</v>
      </c>
      <c r="C140">
        <f t="shared" si="37"/>
        <v>2.7249007968667827</v>
      </c>
      <c r="I140" t="s">
        <v>114</v>
      </c>
      <c r="J140">
        <f>A124</f>
        <v>8094</v>
      </c>
      <c r="L140">
        <f>N137</f>
        <v>0.75600000000000001</v>
      </c>
      <c r="M140">
        <f>H79</f>
        <v>0.15023389076401028</v>
      </c>
      <c r="N140">
        <f>L140*M140</f>
        <v>0.11357682141759178</v>
      </c>
      <c r="P140" s="7" t="s">
        <v>67</v>
      </c>
    </row>
    <row r="141" spans="1:18">
      <c r="P141" t="s">
        <v>68</v>
      </c>
      <c r="Q141" t="s">
        <v>69</v>
      </c>
      <c r="R141" t="s">
        <v>79</v>
      </c>
    </row>
    <row r="142" spans="1:18" ht="15.6">
      <c r="A142" s="14" t="s">
        <v>146</v>
      </c>
      <c r="B142" s="14"/>
      <c r="C142" s="14"/>
      <c r="D142" s="14"/>
      <c r="E142" s="14"/>
      <c r="F142" s="14"/>
      <c r="L142" t="s">
        <v>63</v>
      </c>
      <c r="M142" s="3" t="s">
        <v>61</v>
      </c>
      <c r="N142" t="s">
        <v>65</v>
      </c>
      <c r="P142">
        <f>1.3*N143</f>
        <v>1.9458195540394796</v>
      </c>
      <c r="Q142">
        <f>1.5*N143</f>
        <v>2.2451764085070915</v>
      </c>
      <c r="R142">
        <f>(P142+Q142)/2</f>
        <v>2.0954979812732857</v>
      </c>
    </row>
    <row r="143" spans="1:18">
      <c r="A143" t="s">
        <v>147</v>
      </c>
      <c r="B143" t="s">
        <v>148</v>
      </c>
      <c r="C143" t="s">
        <v>149</v>
      </c>
      <c r="E143" t="s">
        <v>150</v>
      </c>
      <c r="G143" s="24" t="s">
        <v>110</v>
      </c>
      <c r="H143">
        <f>Q89/7</f>
        <v>1.4914285714285713</v>
      </c>
      <c r="L143">
        <f>C91</f>
        <v>0.17</v>
      </c>
      <c r="M143">
        <f>N140</f>
        <v>0.11357682141759178</v>
      </c>
      <c r="N143">
        <f>L143/M143</f>
        <v>1.4967842723380611</v>
      </c>
      <c r="P143" t="s">
        <v>112</v>
      </c>
    </row>
    <row r="144" spans="1:18">
      <c r="A144">
        <f>B144/C144</f>
        <v>3.3220037630804975</v>
      </c>
      <c r="B144">
        <f>B131</f>
        <v>36.209841017577425</v>
      </c>
      <c r="C144">
        <f>Q95</f>
        <v>10.9</v>
      </c>
      <c r="G144" t="s">
        <v>111</v>
      </c>
      <c r="H144">
        <f>Q89/2</f>
        <v>5.22</v>
      </c>
      <c r="P144">
        <f>0.25*J139*PI()*J140/30</f>
        <v>2.2122404316195534</v>
      </c>
    </row>
    <row r="147" spans="1:15">
      <c r="A147" s="19" t="s">
        <v>94</v>
      </c>
      <c r="B147" s="14"/>
      <c r="C147" s="14"/>
      <c r="D147" s="14"/>
      <c r="E147" s="14"/>
      <c r="F147" s="14"/>
    </row>
    <row r="148" spans="1:15">
      <c r="A148" t="s">
        <v>83</v>
      </c>
      <c r="C148" t="s">
        <v>95</v>
      </c>
    </row>
    <row r="149" spans="1:15">
      <c r="A149">
        <f>F112</f>
        <v>63.033174910200202</v>
      </c>
      <c r="B149">
        <v>1.3</v>
      </c>
      <c r="C149">
        <f>$A$149*B149</f>
        <v>81.943127383260261</v>
      </c>
    </row>
    <row r="150" spans="1:15">
      <c r="B150">
        <v>1.5</v>
      </c>
      <c r="C150" s="28">
        <f>$A$149*B150</f>
        <v>94.549762365300296</v>
      </c>
    </row>
    <row r="153" spans="1:15">
      <c r="A153" s="14"/>
      <c r="B153" s="20" t="s">
        <v>96</v>
      </c>
      <c r="C153" s="14"/>
      <c r="D153" s="14"/>
      <c r="E153" s="14"/>
      <c r="F153" s="14"/>
      <c r="G153" s="14"/>
    </row>
    <row r="154" spans="1:15">
      <c r="A154" t="s">
        <v>97</v>
      </c>
      <c r="B154" t="s">
        <v>98</v>
      </c>
      <c r="C154" t="s">
        <v>99</v>
      </c>
    </row>
    <row r="155" spans="1:15">
      <c r="A155">
        <f>P2</f>
        <v>0.7</v>
      </c>
      <c r="B155">
        <v>2</v>
      </c>
      <c r="C155">
        <f>1000*A155/B155</f>
        <v>350</v>
      </c>
    </row>
    <row r="157" spans="1:15">
      <c r="A157" s="11"/>
      <c r="B157" s="11"/>
      <c r="C157" s="21" t="s">
        <v>100</v>
      </c>
      <c r="D157" s="11"/>
      <c r="E157" s="11"/>
      <c r="F157" s="11"/>
      <c r="G157" s="11"/>
    </row>
    <row r="158" spans="1:15" ht="18">
      <c r="A158" t="s">
        <v>99</v>
      </c>
      <c r="B158" t="s">
        <v>101</v>
      </c>
      <c r="J158" s="22" t="s">
        <v>102</v>
      </c>
      <c r="K158" s="23" t="s">
        <v>119</v>
      </c>
      <c r="L158" s="22"/>
      <c r="M158" s="22">
        <v>110145</v>
      </c>
      <c r="N158" s="22" t="s">
        <v>121</v>
      </c>
      <c r="O158" s="22">
        <v>353017</v>
      </c>
    </row>
    <row r="159" spans="1:15">
      <c r="A159">
        <f>C155</f>
        <v>350</v>
      </c>
      <c r="B159">
        <f>0.25*A159</f>
        <v>87.5</v>
      </c>
      <c r="J159" s="22"/>
      <c r="M159" t="s">
        <v>123</v>
      </c>
      <c r="O159" t="s">
        <v>124</v>
      </c>
    </row>
    <row r="160" spans="1:15">
      <c r="J160" s="22"/>
      <c r="K160" s="22"/>
      <c r="L160" s="22" t="s">
        <v>120</v>
      </c>
      <c r="M160" s="22"/>
      <c r="N160" s="22" t="s">
        <v>105</v>
      </c>
      <c r="O160" s="22">
        <v>22.1</v>
      </c>
    </row>
    <row r="161" spans="10:15">
      <c r="J161" s="22"/>
      <c r="K161" s="22"/>
      <c r="L161" s="22"/>
      <c r="M161" s="22"/>
      <c r="N161" s="22" t="s">
        <v>106</v>
      </c>
      <c r="O161" s="22">
        <v>9690</v>
      </c>
    </row>
    <row r="162" spans="10:15">
      <c r="J162" s="22"/>
      <c r="K162" s="22" t="s">
        <v>103</v>
      </c>
      <c r="L162" s="22"/>
      <c r="M162" s="22">
        <v>131</v>
      </c>
      <c r="N162" s="22"/>
      <c r="O162" s="22"/>
    </row>
    <row r="163" spans="10:15">
      <c r="J163" s="22"/>
      <c r="K163" s="22"/>
      <c r="L163" s="22"/>
      <c r="M163" s="22"/>
      <c r="N163" s="22"/>
      <c r="O163" s="22"/>
    </row>
    <row r="164" spans="10:15" ht="18">
      <c r="J164" s="22" t="s">
        <v>104</v>
      </c>
      <c r="K164" s="23" t="s">
        <v>122</v>
      </c>
      <c r="L164" s="22"/>
      <c r="M164" s="22">
        <v>143973</v>
      </c>
      <c r="N164" s="22"/>
      <c r="O164" s="22"/>
    </row>
    <row r="165" spans="10:15">
      <c r="J165" s="22"/>
      <c r="M165" t="s">
        <v>125</v>
      </c>
      <c r="N165" s="22"/>
      <c r="O165" s="22"/>
    </row>
    <row r="166" spans="10:15">
      <c r="J166" s="22"/>
      <c r="K166" s="22"/>
      <c r="L166" s="22" t="s">
        <v>107</v>
      </c>
      <c r="M166" s="22">
        <v>0.84</v>
      </c>
      <c r="N166" s="22"/>
      <c r="O166" s="22"/>
    </row>
    <row r="167" spans="10:15">
      <c r="J167" s="22"/>
      <c r="K167" s="22"/>
      <c r="L167" s="22" t="s">
        <v>108</v>
      </c>
      <c r="M167" s="22">
        <v>5.4</v>
      </c>
      <c r="N167" s="22"/>
      <c r="O167" s="22"/>
    </row>
    <row r="168" spans="10:15">
      <c r="J168" s="22"/>
      <c r="K168" s="22" t="s">
        <v>109</v>
      </c>
      <c r="L168" s="22"/>
      <c r="M168" s="22">
        <f>L126</f>
        <v>5.6663439301848673</v>
      </c>
    </row>
    <row r="169" spans="10:15">
      <c r="K169" s="22" t="s">
        <v>103</v>
      </c>
      <c r="L169" s="22"/>
      <c r="M169" s="22">
        <v>264</v>
      </c>
    </row>
  </sheetData>
  <hyperlinks>
    <hyperlink ref="P78" r:id="rId1" xr:uid="{6839BF87-34C7-4199-9307-7F61A430E940}"/>
    <hyperlink ref="P73" r:id="rId2" xr:uid="{B80CB5F7-6F50-434A-8199-2DA35DCCE31B}"/>
    <hyperlink ref="P83" r:id="rId3" xr:uid="{A5AAA305-E419-4ED7-87C4-483DB53DC06D}"/>
    <hyperlink ref="P88" r:id="rId4" xr:uid="{97C2EDB6-DE8C-471A-A839-71D926BFCDCA}"/>
  </hyperlinks>
  <printOptions gridLines="1"/>
  <pageMargins left="0.25" right="0.25" top="0.75" bottom="0.75" header="0.3" footer="0.3"/>
  <pageSetup paperSize="9" scale="86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75" sqref="E175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75" sqref="E175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A-max 22 9V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 Iwaniak</dc:creator>
  <cp:lastModifiedBy>Baartii Michalski</cp:lastModifiedBy>
  <cp:lastPrinted>2016-01-11T17:15:50Z</cp:lastPrinted>
  <dcterms:created xsi:type="dcterms:W3CDTF">2015-12-31T09:30:19Z</dcterms:created>
  <dcterms:modified xsi:type="dcterms:W3CDTF">2021-04-13T14:28:33Z</dcterms:modified>
</cp:coreProperties>
</file>